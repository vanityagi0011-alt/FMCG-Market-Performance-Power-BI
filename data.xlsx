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24925009faeb36/Desktop/"/>
    </mc:Choice>
  </mc:AlternateContent>
  <xr:revisionPtr revIDLastSave="1" documentId="14_{C8DC042D-E88E-4A49-89F3-270A76EB7D7C}" xr6:coauthVersionLast="47" xr6:coauthVersionMax="47" xr10:uidLastSave="{8A936107-9308-4CBE-B44B-1177E7C7F24B}"/>
  <bookViews>
    <workbookView xWindow="-110" yWindow="-110" windowWidth="19420" windowHeight="10300" activeTab="1" xr2:uid="{DC8A83E5-E717-465D-8998-35977E45E2CB}"/>
  </bookViews>
  <sheets>
    <sheet name="Sample_Sales Records_xls" sheetId="1" r:id="rId1"/>
    <sheet name="Sheet1" sheetId="2" r:id="rId2"/>
  </sheets>
  <definedNames>
    <definedName name="_xlnm._FilterDatabase" localSheetId="1" hidden="1">Sheet1!$A$3:$O$103</definedName>
  </definedNames>
  <calcPr calcId="191029"/>
</workbook>
</file>

<file path=xl/calcChain.xml><?xml version="1.0" encoding="utf-8"?>
<calcChain xmlns="http://schemas.openxmlformats.org/spreadsheetml/2006/main">
  <c r="O79" i="2" l="1"/>
  <c r="O88" i="2"/>
  <c r="O22" i="2"/>
  <c r="O57" i="2"/>
  <c r="O76" i="2"/>
  <c r="O65" i="2"/>
  <c r="O23" i="2"/>
  <c r="O43" i="2"/>
  <c r="O36" i="2"/>
  <c r="O103" i="2"/>
  <c r="O66" i="2"/>
  <c r="O19" i="2"/>
  <c r="O11" i="2"/>
  <c r="O59" i="2"/>
  <c r="O90" i="2"/>
  <c r="O34" i="2"/>
  <c r="O52" i="2"/>
  <c r="O70" i="2"/>
  <c r="O45" i="2"/>
  <c r="O28" i="2"/>
  <c r="O92" i="2"/>
  <c r="O82" i="2"/>
  <c r="O83" i="2"/>
  <c r="O56" i="2"/>
  <c r="O87" i="2"/>
  <c r="O53" i="2"/>
  <c r="O46" i="2"/>
  <c r="O55" i="2"/>
  <c r="O80" i="2"/>
  <c r="O14" i="2"/>
  <c r="O84" i="2"/>
  <c r="O77" i="2"/>
  <c r="O20" i="2"/>
  <c r="O30" i="2"/>
  <c r="O40" i="2"/>
  <c r="O71" i="2"/>
  <c r="O60" i="2"/>
  <c r="O35" i="2"/>
  <c r="O69" i="2"/>
  <c r="O75" i="2"/>
  <c r="O31" i="2"/>
  <c r="O85" i="2"/>
  <c r="O102" i="2"/>
  <c r="O44" i="2"/>
  <c r="O94" i="2"/>
  <c r="O12" i="2"/>
  <c r="O101" i="2"/>
  <c r="O26" i="2"/>
  <c r="O93" i="2"/>
  <c r="O81" i="2"/>
  <c r="O8" i="2"/>
  <c r="O68" i="2"/>
  <c r="O74" i="2"/>
  <c r="O27" i="2"/>
  <c r="O73" i="2"/>
  <c r="O5" i="2"/>
  <c r="O78" i="2"/>
  <c r="O100" i="2"/>
  <c r="O32" i="2"/>
  <c r="O97" i="2"/>
  <c r="O61" i="2"/>
  <c r="O50" i="2"/>
  <c r="O42" i="2"/>
  <c r="O89" i="2"/>
  <c r="O64" i="2"/>
  <c r="O16" i="2"/>
  <c r="O51" i="2"/>
  <c r="O18" i="2"/>
  <c r="O29" i="2"/>
  <c r="O58" i="2"/>
  <c r="O98" i="2"/>
  <c r="O48" i="2"/>
  <c r="O15" i="2"/>
  <c r="O6" i="2"/>
  <c r="O33" i="2"/>
  <c r="O10" i="2"/>
  <c r="O72" i="2"/>
  <c r="O17" i="2"/>
  <c r="O7" i="2"/>
  <c r="O63" i="2"/>
  <c r="O25" i="2"/>
  <c r="O37" i="2"/>
  <c r="O67" i="2"/>
  <c r="O38" i="2"/>
  <c r="O39" i="2"/>
  <c r="O13" i="2"/>
  <c r="O49" i="2"/>
  <c r="O99" i="2"/>
  <c r="O62" i="2"/>
  <c r="O95" i="2"/>
  <c r="O9" i="2"/>
  <c r="O86" i="2"/>
  <c r="O24" i="2"/>
  <c r="O21" i="2"/>
  <c r="O96" i="2"/>
  <c r="O41" i="2"/>
  <c r="O91" i="2"/>
  <c r="O47" i="2"/>
  <c r="O54" i="2"/>
  <c r="O4" i="2"/>
</calcChain>
</file>

<file path=xl/sharedStrings.xml><?xml version="1.0" encoding="utf-8"?>
<sst xmlns="http://schemas.openxmlformats.org/spreadsheetml/2006/main" count="1030" uniqueCount="118">
  <si>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</si>
  <si>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</si>
  <si>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</si>
  <si>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</si>
  <si>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</si>
  <si>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</si>
  <si>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</si>
  <si>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</si>
  <si>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</si>
  <si>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</si>
  <si>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</si>
  <si>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</si>
  <si>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</si>
  <si>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</si>
  <si>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</si>
  <si>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</si>
  <si>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</si>
  <si>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</si>
  <si>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</si>
  <si>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</si>
  <si>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</si>
  <si>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</si>
  <si>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</si>
  <si>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</si>
  <si>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</si>
  <si>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</si>
  <si>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</si>
  <si>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</si>
  <si>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</si>
  <si>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</si>
  <si>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</si>
  <si>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</si>
  <si>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</si>
  <si>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</si>
  <si>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</si>
  <si>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</si>
  <si>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</si>
  <si>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</si>
  <si>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</si>
  <si>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</si>
  <si>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</si>
  <si>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</si>
  <si>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</si>
  <si>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</si>
  <si>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</si>
  <si>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</si>
  <si>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</si>
  <si>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</si>
  <si>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</si>
  <si>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</si>
  <si>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</si>
  <si>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</si>
  <si>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</si>
  <si>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</si>
  <si>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</si>
  <si>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</si>
  <si>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</si>
  <si>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</si>
  <si>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</si>
  <si>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</si>
  <si>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</si>
  <si>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</si>
  <si>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</si>
  <si>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</si>
  <si>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</si>
  <si>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</si>
  <si>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</si>
  <si>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</si>
  <si>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</si>
  <si>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</si>
  <si>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</si>
  <si>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</si>
  <si>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</si>
  <si>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</si>
  <si>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</si>
  <si>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</si>
  <si>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</si>
  <si>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</si>
  <si>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</si>
  <si>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</si>
  <si>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</si>
  <si>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</si>
  <si>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</si>
  <si>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</si>
  <si>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</si>
  <si>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</si>
  <si>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</si>
  <si>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</si>
  <si>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</si>
  <si>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</si>
  <si>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</si>
  <si>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</si>
  <si>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</si>
  <si>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</si>
  <si>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</si>
  <si>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</si>
  <si>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</si>
  <si>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</si>
  <si>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</si>
  <si>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</si>
  <si>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</si>
  <si>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</si>
  <si>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</si>
  <si>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</si>
  <si>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</si>
  <si>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</si>
  <si>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</si>
  <si>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</si>
  <si>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</si>
  <si>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</si>
  <si>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</si>
  <si>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</si>
  <si>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</si>
  <si>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</si>
  <si>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</si>
  <si>
    <t>DATA</t>
  </si>
  <si>
    <t>Profit Margin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</si>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</sst>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8" fillId="4" borderId="10" xfId="8" applyBorder="1" applyAlignment="1">
      <alignment horizontal="center"/>
    </xf>
    <xf numFmtId="14" fontId="8" fillId="4" borderId="10" xfId="8" applyNumberFormat="1" applyBorder="1" applyAlignment="1">
      <alignment horizontal="center"/>
    </xf>
    <xf numFmtId="0" fontId="8" fillId="4" borderId="11" xfId="8" applyBorder="1" applyAlignment="1">
      <alignment horizontal="center"/>
    </xf>
    <xf numFmtId="0" fontId="0" fillId="0" borderId="11" xfId="0" applyBorder="1" applyAlignment="1">
      <alignment horizontal="center"/>
    </xf>
    <xf numFmtId="0" fontId="8" fillId="4" borderId="12" xfId="8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2C21-2E16-4703-803E-7096F1FFE90D}">
  <dimension ref="A1:N101"/>
  <sheetViews>
    <sheetView workbookViewId="0">
      <selection sqref="A1:N101"/>
    </sheetView>
  </sheetViews>
  <sheetFormatPr defaultRowHeight="14.5" x14ac:dyDescent="0.35"/>
  <cols>
    <col min="1" max="1" width="11.26953125" customWidth="1"/>
    <col min="2" max="2" width="12.7265625" customWidth="1"/>
    <col min="3" max="3" width="14.453125" customWidth="1"/>
    <col min="4" max="4" width="9.453125" customWidth="1"/>
    <col min="6" max="6" width="11.81640625" customWidth="1"/>
    <col min="7" max="7" width="10.08984375" customWidth="1"/>
    <col min="8" max="8" width="10" customWidth="1"/>
    <col min="11" max="11" width="9.1796875" customWidth="1"/>
    <col min="14" max="14" width="15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40326</v>
      </c>
      <c r="G2">
        <v>669165933</v>
      </c>
      <c r="H2" s="1">
        <v>40356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</row>
    <row r="3" spans="1:14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41143</v>
      </c>
      <c r="G3">
        <v>963881480</v>
      </c>
      <c r="H3" s="1">
        <v>41167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</row>
    <row r="4" spans="1:14" x14ac:dyDescent="0.35">
      <c r="A4" t="s">
        <v>24</v>
      </c>
      <c r="B4" t="s">
        <v>25</v>
      </c>
      <c r="C4" t="s">
        <v>26</v>
      </c>
      <c r="D4" t="s">
        <v>17</v>
      </c>
      <c r="E4" t="s">
        <v>27</v>
      </c>
      <c r="F4" s="1">
        <v>41761</v>
      </c>
      <c r="G4">
        <v>341417157</v>
      </c>
      <c r="H4" s="1">
        <v>41767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</row>
    <row r="5" spans="1:14" x14ac:dyDescent="0.35">
      <c r="A5" t="s">
        <v>28</v>
      </c>
      <c r="B5" t="s">
        <v>29</v>
      </c>
      <c r="C5" t="s">
        <v>30</v>
      </c>
      <c r="D5" t="s">
        <v>22</v>
      </c>
      <c r="E5" t="s">
        <v>23</v>
      </c>
      <c r="F5" s="1">
        <v>41810</v>
      </c>
      <c r="G5">
        <v>514321792</v>
      </c>
      <c r="H5" s="1">
        <v>41825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</row>
    <row r="6" spans="1:14" x14ac:dyDescent="0.35">
      <c r="A6" t="s">
        <v>28</v>
      </c>
      <c r="B6" t="s">
        <v>31</v>
      </c>
      <c r="C6" t="s">
        <v>26</v>
      </c>
      <c r="D6" t="s">
        <v>17</v>
      </c>
      <c r="E6" t="s">
        <v>27</v>
      </c>
      <c r="F6" s="1">
        <v>41306</v>
      </c>
      <c r="G6">
        <v>115456712</v>
      </c>
      <c r="H6" s="1">
        <v>41311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</row>
    <row r="7" spans="1:14" x14ac:dyDescent="0.35">
      <c r="A7" t="s">
        <v>14</v>
      </c>
      <c r="B7" t="s">
        <v>32</v>
      </c>
      <c r="C7" t="s">
        <v>16</v>
      </c>
      <c r="D7" t="s">
        <v>22</v>
      </c>
      <c r="E7" t="s">
        <v>23</v>
      </c>
      <c r="F7" s="1">
        <v>42039</v>
      </c>
      <c r="G7">
        <v>547995746</v>
      </c>
      <c r="H7" s="1">
        <v>42056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</row>
    <row r="8" spans="1:14" x14ac:dyDescent="0.35">
      <c r="A8" t="s">
        <v>28</v>
      </c>
      <c r="B8" t="s">
        <v>33</v>
      </c>
      <c r="C8" t="s">
        <v>34</v>
      </c>
      <c r="D8" t="s">
        <v>17</v>
      </c>
      <c r="E8" t="s">
        <v>35</v>
      </c>
      <c r="F8" s="1">
        <v>40656</v>
      </c>
      <c r="G8">
        <v>135425221</v>
      </c>
      <c r="H8" s="1">
        <v>40660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</row>
    <row r="9" spans="1:14" x14ac:dyDescent="0.35">
      <c r="A9" t="s">
        <v>28</v>
      </c>
      <c r="B9" t="s">
        <v>36</v>
      </c>
      <c r="C9" t="s">
        <v>37</v>
      </c>
      <c r="D9" t="s">
        <v>22</v>
      </c>
      <c r="E9" t="s">
        <v>18</v>
      </c>
      <c r="F9" s="1">
        <v>41107</v>
      </c>
      <c r="G9">
        <v>871543967</v>
      </c>
      <c r="H9" s="1">
        <v>41117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</row>
    <row r="10" spans="1:14" x14ac:dyDescent="0.35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 s="1">
        <v>42199</v>
      </c>
      <c r="G10">
        <v>770463311</v>
      </c>
      <c r="H10" s="1">
        <v>42241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</row>
    <row r="11" spans="1:14" x14ac:dyDescent="0.35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 s="1">
        <v>41747</v>
      </c>
      <c r="G11">
        <v>616607081</v>
      </c>
      <c r="H11" s="1">
        <v>41789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</row>
    <row r="12" spans="1:14" x14ac:dyDescent="0.35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 s="1">
        <v>40718</v>
      </c>
      <c r="G12">
        <v>814711606</v>
      </c>
      <c r="H12" s="1">
        <v>40736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</row>
    <row r="13" spans="1:14" x14ac:dyDescent="0.35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 s="1">
        <v>41853</v>
      </c>
      <c r="G13">
        <v>939825713</v>
      </c>
      <c r="H13" s="1">
        <v>41870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</row>
    <row r="14" spans="1:14" x14ac:dyDescent="0.35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 s="1">
        <v>42748</v>
      </c>
      <c r="G14">
        <v>187310731</v>
      </c>
      <c r="H14" s="1">
        <v>42795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</row>
    <row r="15" spans="1:14" x14ac:dyDescent="0.35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 s="1">
        <v>42774</v>
      </c>
      <c r="G15">
        <v>522840487</v>
      </c>
      <c r="H15" s="1">
        <v>42779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</row>
    <row r="16" spans="1:14" x14ac:dyDescent="0.35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 s="1">
        <v>41689</v>
      </c>
      <c r="G16">
        <v>832401311</v>
      </c>
      <c r="H16" s="1">
        <v>41693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</row>
    <row r="17" spans="1:14" x14ac:dyDescent="0.35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 s="1">
        <v>41022</v>
      </c>
      <c r="G17">
        <v>972292029</v>
      </c>
      <c r="H17" s="1">
        <v>41063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</row>
    <row r="18" spans="1:14" x14ac:dyDescent="0.35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 s="1">
        <v>42693</v>
      </c>
      <c r="G18">
        <v>419123971</v>
      </c>
      <c r="H18" s="1">
        <v>42722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</row>
    <row r="19" spans="1:14" x14ac:dyDescent="0.35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 s="1">
        <v>42095</v>
      </c>
      <c r="G19">
        <v>519820964</v>
      </c>
      <c r="H19" s="1">
        <v>42112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</row>
    <row r="20" spans="1:14" x14ac:dyDescent="0.35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 s="1">
        <v>40542</v>
      </c>
      <c r="G20">
        <v>441619336</v>
      </c>
      <c r="H20" s="1">
        <v>40563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</row>
    <row r="21" spans="1:14" x14ac:dyDescent="0.35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 s="1">
        <v>41121</v>
      </c>
      <c r="G21">
        <v>322067916</v>
      </c>
      <c r="H21" s="1">
        <v>41163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</row>
    <row r="22" spans="1:14" x14ac:dyDescent="0.35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 s="1">
        <v>41773</v>
      </c>
      <c r="G22">
        <v>819028031</v>
      </c>
      <c r="H22" s="1">
        <v>41818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</row>
    <row r="23" spans="1:14" x14ac:dyDescent="0.35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 s="1">
        <v>42216</v>
      </c>
      <c r="G23">
        <v>860673511</v>
      </c>
      <c r="H23" s="1">
        <v>42250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</row>
    <row r="24" spans="1:14" x14ac:dyDescent="0.35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 s="1">
        <v>42551</v>
      </c>
      <c r="G24">
        <v>795490682</v>
      </c>
      <c r="H24" s="1">
        <v>42577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</row>
    <row r="25" spans="1:14" x14ac:dyDescent="0.35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 s="1">
        <v>41890</v>
      </c>
      <c r="G25">
        <v>142278373</v>
      </c>
      <c r="H25" s="1">
        <v>41916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</row>
    <row r="26" spans="1:14" x14ac:dyDescent="0.35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 s="1">
        <v>42497</v>
      </c>
      <c r="G26">
        <v>740147912</v>
      </c>
      <c r="H26" s="1">
        <v>42500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</row>
    <row r="27" spans="1:14" x14ac:dyDescent="0.35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 s="1">
        <v>42877</v>
      </c>
      <c r="G27">
        <v>898523128</v>
      </c>
      <c r="H27" s="1">
        <v>42891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</row>
    <row r="28" spans="1:14" x14ac:dyDescent="0.35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 s="1">
        <v>41925</v>
      </c>
      <c r="G28">
        <v>347140347</v>
      </c>
      <c r="H28" s="1">
        <v>41953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</row>
    <row r="29" spans="1:14" x14ac:dyDescent="0.35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 s="1">
        <v>40305</v>
      </c>
      <c r="G29">
        <v>686048400</v>
      </c>
      <c r="H29" s="1">
        <v>40308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</row>
    <row r="30" spans="1:14" x14ac:dyDescent="0.35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 s="1">
        <v>41838</v>
      </c>
      <c r="G30">
        <v>435608613</v>
      </c>
      <c r="H30" s="1">
        <v>41850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</row>
    <row r="31" spans="1:14" x14ac:dyDescent="0.35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 s="1">
        <v>41055</v>
      </c>
      <c r="G31">
        <v>886494815</v>
      </c>
      <c r="H31" s="1">
        <v>41069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</row>
    <row r="32" spans="1:14" x14ac:dyDescent="0.35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 s="1">
        <v>41169</v>
      </c>
      <c r="G32">
        <v>249693334</v>
      </c>
      <c r="H32" s="1">
        <v>41202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</row>
    <row r="33" spans="1:14" x14ac:dyDescent="0.35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 s="1">
        <v>41637</v>
      </c>
      <c r="G33">
        <v>406502997</v>
      </c>
      <c r="H33" s="1">
        <v>41667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</row>
    <row r="34" spans="1:14" x14ac:dyDescent="0.35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 s="1">
        <v>42304</v>
      </c>
      <c r="G34">
        <v>158535134</v>
      </c>
      <c r="H34" s="1">
        <v>42333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</row>
    <row r="35" spans="1:14" x14ac:dyDescent="0.35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 s="1">
        <v>42020</v>
      </c>
      <c r="G35">
        <v>177713572</v>
      </c>
      <c r="H35" s="1">
        <v>42064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</row>
    <row r="36" spans="1:14" x14ac:dyDescent="0.35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 s="1">
        <v>42791</v>
      </c>
      <c r="G36">
        <v>756274640</v>
      </c>
      <c r="H36" s="1">
        <v>42791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</row>
    <row r="37" spans="1:14" x14ac:dyDescent="0.35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 s="1">
        <v>42863</v>
      </c>
      <c r="G37">
        <v>456767165</v>
      </c>
      <c r="H37" s="1">
        <v>42876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</row>
    <row r="38" spans="1:14" x14ac:dyDescent="0.35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 s="1">
        <v>40869</v>
      </c>
      <c r="G38">
        <v>162052476</v>
      </c>
      <c r="H38" s="1">
        <v>40880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</row>
    <row r="39" spans="1:14" x14ac:dyDescent="0.35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 s="1">
        <v>42749</v>
      </c>
      <c r="G39">
        <v>825304400</v>
      </c>
      <c r="H39" s="1">
        <v>42758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</row>
    <row r="40" spans="1:14" x14ac:dyDescent="0.35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 s="1">
        <v>41000</v>
      </c>
      <c r="G40">
        <v>320009267</v>
      </c>
      <c r="H40" s="1">
        <v>41037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</row>
    <row r="41" spans="1:14" x14ac:dyDescent="0.35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 s="1">
        <v>40955</v>
      </c>
      <c r="G41">
        <v>189965903</v>
      </c>
      <c r="H41" s="1">
        <v>40967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</row>
    <row r="42" spans="1:14" x14ac:dyDescent="0.35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 s="1">
        <v>42805</v>
      </c>
      <c r="G42">
        <v>699285638</v>
      </c>
      <c r="H42" s="1">
        <v>42822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</row>
    <row r="43" spans="1:14" x14ac:dyDescent="0.35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 s="1">
        <v>40215</v>
      </c>
      <c r="G43">
        <v>382392299</v>
      </c>
      <c r="H43" s="1">
        <v>40234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</row>
    <row r="44" spans="1:14" x14ac:dyDescent="0.35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 s="1">
        <v>41067</v>
      </c>
      <c r="G44">
        <v>994022214</v>
      </c>
      <c r="H44" s="1">
        <v>41068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</row>
    <row r="45" spans="1:14" x14ac:dyDescent="0.35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 s="1">
        <v>41188</v>
      </c>
      <c r="G45">
        <v>759224212</v>
      </c>
      <c r="H45" s="1">
        <v>41223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</row>
    <row r="46" spans="1:14" x14ac:dyDescent="0.35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 s="1">
        <v>42322</v>
      </c>
      <c r="G46">
        <v>223359620</v>
      </c>
      <c r="H46" s="1">
        <v>42326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</row>
    <row r="47" spans="1:14" x14ac:dyDescent="0.35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 s="1">
        <v>42458</v>
      </c>
      <c r="G47">
        <v>902102267</v>
      </c>
      <c r="H47" s="1">
        <v>42489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</row>
    <row r="48" spans="1:14" x14ac:dyDescent="0.35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 s="1">
        <v>42735</v>
      </c>
      <c r="G48">
        <v>331438481</v>
      </c>
      <c r="H48" s="1">
        <v>42735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</row>
    <row r="49" spans="1:14" x14ac:dyDescent="0.35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 s="1">
        <v>40535</v>
      </c>
      <c r="G49">
        <v>617667090</v>
      </c>
      <c r="H49" s="1">
        <v>40574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</row>
    <row r="50" spans="1:14" x14ac:dyDescent="0.35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 s="1">
        <v>41926</v>
      </c>
      <c r="G50">
        <v>787399423</v>
      </c>
      <c r="H50" s="1">
        <v>41957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</row>
    <row r="51" spans="1:14" x14ac:dyDescent="0.35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 s="1">
        <v>40919</v>
      </c>
      <c r="G51">
        <v>837559306</v>
      </c>
      <c r="H51" s="1">
        <v>40921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</row>
    <row r="52" spans="1:14" x14ac:dyDescent="0.35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 s="1">
        <v>40211</v>
      </c>
      <c r="G52">
        <v>385383069</v>
      </c>
      <c r="H52" s="1">
        <v>40255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</row>
    <row r="53" spans="1:14" x14ac:dyDescent="0.35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 s="1">
        <v>41504</v>
      </c>
      <c r="G53">
        <v>918419539</v>
      </c>
      <c r="H53" s="1">
        <v>41535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</row>
    <row r="54" spans="1:14" x14ac:dyDescent="0.35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 s="1">
        <v>41358</v>
      </c>
      <c r="G54">
        <v>844530045</v>
      </c>
      <c r="H54" s="1">
        <v>41361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</row>
    <row r="55" spans="1:14" x14ac:dyDescent="0.35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 s="1">
        <v>40873</v>
      </c>
      <c r="G55">
        <v>441888415</v>
      </c>
      <c r="H55" s="1">
        <v>40915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</row>
    <row r="56" spans="1:14" x14ac:dyDescent="0.35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 s="1">
        <v>41534</v>
      </c>
      <c r="G56">
        <v>508980977</v>
      </c>
      <c r="H56" s="1">
        <v>41571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</row>
    <row r="57" spans="1:14" x14ac:dyDescent="0.35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 s="1">
        <v>41068</v>
      </c>
      <c r="G57">
        <v>114606559</v>
      </c>
      <c r="H57" s="1">
        <v>41087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</row>
    <row r="58" spans="1:14" x14ac:dyDescent="0.35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 s="1">
        <v>40359</v>
      </c>
      <c r="G58">
        <v>647876489</v>
      </c>
      <c r="H58" s="1">
        <v>40391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</row>
    <row r="59" spans="1:14" x14ac:dyDescent="0.35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 s="1">
        <v>42058</v>
      </c>
      <c r="G59">
        <v>868214595</v>
      </c>
      <c r="H59" s="1">
        <v>42065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</row>
    <row r="60" spans="1:14" x14ac:dyDescent="0.35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 s="1">
        <v>40913</v>
      </c>
      <c r="G60">
        <v>955357205</v>
      </c>
      <c r="H60" s="1">
        <v>40953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</row>
    <row r="61" spans="1:14" x14ac:dyDescent="0.35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 s="1">
        <v>41736</v>
      </c>
      <c r="G61">
        <v>259353148</v>
      </c>
      <c r="H61" s="1">
        <v>41748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</row>
    <row r="62" spans="1:14" x14ac:dyDescent="0.35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 s="1">
        <v>41434</v>
      </c>
      <c r="G62">
        <v>450563752</v>
      </c>
      <c r="H62" s="1">
        <v>41457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</row>
    <row r="63" spans="1:14" x14ac:dyDescent="0.35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 s="1">
        <v>41451</v>
      </c>
      <c r="G63">
        <v>569662845</v>
      </c>
      <c r="H63" s="1">
        <v>41456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</row>
    <row r="64" spans="1:14" x14ac:dyDescent="0.35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 s="1">
        <v>40854</v>
      </c>
      <c r="G64">
        <v>177636754</v>
      </c>
      <c r="H64" s="1">
        <v>40862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</row>
    <row r="65" spans="1:14" x14ac:dyDescent="0.35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 s="1">
        <v>40481</v>
      </c>
      <c r="G65">
        <v>705784308</v>
      </c>
      <c r="H65" s="1">
        <v>40499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</row>
    <row r="66" spans="1:14" x14ac:dyDescent="0.35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 s="1">
        <v>41560</v>
      </c>
      <c r="G66">
        <v>505716836</v>
      </c>
      <c r="H66" s="1">
        <v>41594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</row>
    <row r="67" spans="1:14" x14ac:dyDescent="0.35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 s="1">
        <v>41558</v>
      </c>
      <c r="G67">
        <v>699358165</v>
      </c>
      <c r="H67" s="1">
        <v>41603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</row>
    <row r="68" spans="1:14" x14ac:dyDescent="0.35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 s="1">
        <v>41098</v>
      </c>
      <c r="G68">
        <v>228944623</v>
      </c>
      <c r="H68" s="1">
        <v>41099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</row>
    <row r="69" spans="1:14" x14ac:dyDescent="0.35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 s="1">
        <v>42576</v>
      </c>
      <c r="G69">
        <v>807025039</v>
      </c>
      <c r="H69" s="1">
        <v>42620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</row>
    <row r="70" spans="1:14" x14ac:dyDescent="0.35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 s="1">
        <v>40475</v>
      </c>
      <c r="G70">
        <v>166460740</v>
      </c>
      <c r="H70" s="1">
        <v>40499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</row>
    <row r="71" spans="1:14" x14ac:dyDescent="0.35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 s="1">
        <v>42119</v>
      </c>
      <c r="G71">
        <v>610425555</v>
      </c>
      <c r="H71" s="1">
        <v>42152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</row>
    <row r="72" spans="1:14" x14ac:dyDescent="0.35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 s="1">
        <v>41387</v>
      </c>
      <c r="G72">
        <v>462405812</v>
      </c>
      <c r="H72" s="1">
        <v>41414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</row>
    <row r="73" spans="1:14" x14ac:dyDescent="0.35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 s="1">
        <v>42230</v>
      </c>
      <c r="G73">
        <v>816200339</v>
      </c>
      <c r="H73" s="1">
        <v>42277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</row>
    <row r="74" spans="1:14" x14ac:dyDescent="0.35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 s="1">
        <v>40689</v>
      </c>
      <c r="G74">
        <v>585920464</v>
      </c>
      <c r="H74" s="1">
        <v>40739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</row>
    <row r="75" spans="1:14" x14ac:dyDescent="0.35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 s="1">
        <v>42875</v>
      </c>
      <c r="G75">
        <v>555990016</v>
      </c>
      <c r="H75" s="1">
        <v>42903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</row>
    <row r="76" spans="1:14" x14ac:dyDescent="0.35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 s="1">
        <v>41460</v>
      </c>
      <c r="G76">
        <v>231145322</v>
      </c>
      <c r="H76" s="1">
        <v>41502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</row>
    <row r="77" spans="1:14" x14ac:dyDescent="0.35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 s="1">
        <v>41949</v>
      </c>
      <c r="G77">
        <v>986435210</v>
      </c>
      <c r="H77" s="1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</row>
    <row r="78" spans="1:14" x14ac:dyDescent="0.35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 s="1">
        <v>41940</v>
      </c>
      <c r="G78">
        <v>217221009</v>
      </c>
      <c r="H78" s="1">
        <v>41958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</row>
    <row r="79" spans="1:14" x14ac:dyDescent="0.35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 s="1">
        <v>40801</v>
      </c>
      <c r="G79">
        <v>789176547</v>
      </c>
      <c r="H79" s="1">
        <v>40839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</row>
    <row r="80" spans="1:14" x14ac:dyDescent="0.35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 s="1">
        <v>41058</v>
      </c>
      <c r="G80">
        <v>688288152</v>
      </c>
      <c r="H80" s="1">
        <v>41062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</row>
    <row r="81" spans="1:14" x14ac:dyDescent="0.35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 s="1">
        <v>41475</v>
      </c>
      <c r="G81">
        <v>670854651</v>
      </c>
      <c r="H81" s="1">
        <v>41493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</row>
    <row r="82" spans="1:14" x14ac:dyDescent="0.35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 s="1">
        <v>41203</v>
      </c>
      <c r="G82">
        <v>213487374</v>
      </c>
      <c r="H82" s="1">
        <v>41243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</row>
    <row r="83" spans="1:14" x14ac:dyDescent="0.35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 s="1">
        <v>41170</v>
      </c>
      <c r="G83">
        <v>663110148</v>
      </c>
      <c r="H83" s="1">
        <v>41190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</row>
    <row r="84" spans="1:14" x14ac:dyDescent="0.35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 s="1">
        <v>42689</v>
      </c>
      <c r="G84">
        <v>286959302</v>
      </c>
      <c r="H84" s="1">
        <v>42712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</row>
    <row r="85" spans="1:14" x14ac:dyDescent="0.35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 s="1">
        <v>40547</v>
      </c>
      <c r="G85">
        <v>122583663</v>
      </c>
      <c r="H85" s="1">
        <v>40548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</row>
    <row r="86" spans="1:14" x14ac:dyDescent="0.35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 s="1">
        <v>40986</v>
      </c>
      <c r="G86">
        <v>827844560</v>
      </c>
      <c r="H86" s="1">
        <v>41006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</row>
    <row r="87" spans="1:14" x14ac:dyDescent="0.35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 s="1">
        <v>40956</v>
      </c>
      <c r="G87">
        <v>430915820</v>
      </c>
      <c r="H87" s="1">
        <v>40988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</row>
    <row r="88" spans="1:14" x14ac:dyDescent="0.35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 s="1">
        <v>40559</v>
      </c>
      <c r="G88">
        <v>180283772</v>
      </c>
      <c r="H88" s="1">
        <v>40564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</row>
    <row r="89" spans="1:14" x14ac:dyDescent="0.35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 s="1">
        <v>41673</v>
      </c>
      <c r="G89">
        <v>494747245</v>
      </c>
      <c r="H89" s="1">
        <v>41718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</row>
    <row r="90" spans="1:14" x14ac:dyDescent="0.35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 s="1">
        <v>41029</v>
      </c>
      <c r="G90">
        <v>513417565</v>
      </c>
      <c r="H90" s="1">
        <v>41047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</row>
    <row r="91" spans="1:14" x14ac:dyDescent="0.35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 s="1">
        <v>42666</v>
      </c>
      <c r="G91">
        <v>345718562</v>
      </c>
      <c r="H91" s="1">
        <v>42699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</row>
    <row r="92" spans="1:14" x14ac:dyDescent="0.35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 s="1">
        <v>42710</v>
      </c>
      <c r="G92">
        <v>621386563</v>
      </c>
      <c r="H92" s="1">
        <v>42718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</row>
    <row r="93" spans="1:14" x14ac:dyDescent="0.35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 s="1">
        <v>41827</v>
      </c>
      <c r="G93">
        <v>240470397</v>
      </c>
      <c r="H93" s="1">
        <v>41831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</row>
    <row r="94" spans="1:14" x14ac:dyDescent="0.35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 s="1">
        <v>41073</v>
      </c>
      <c r="G94">
        <v>423331391</v>
      </c>
      <c r="H94" s="1">
        <v>41114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</row>
    <row r="95" spans="1:14" x14ac:dyDescent="0.35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 s="1">
        <v>40508</v>
      </c>
      <c r="G95">
        <v>660643374</v>
      </c>
      <c r="H95" s="1">
        <v>40537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</row>
    <row r="96" spans="1:14" x14ac:dyDescent="0.35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 s="1">
        <v>40582</v>
      </c>
      <c r="G96">
        <v>963392674</v>
      </c>
      <c r="H96" s="1">
        <v>40623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</row>
    <row r="97" spans="1:14" x14ac:dyDescent="0.35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 s="1">
        <v>40750</v>
      </c>
      <c r="G97">
        <v>512878119</v>
      </c>
      <c r="H97" s="1">
        <v>40789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</row>
    <row r="98" spans="1:14" x14ac:dyDescent="0.35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 s="1">
        <v>40858</v>
      </c>
      <c r="G98">
        <v>810711038</v>
      </c>
      <c r="H98" s="1">
        <v>40905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</row>
    <row r="99" spans="1:14" x14ac:dyDescent="0.35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 s="1">
        <v>42522</v>
      </c>
      <c r="G99">
        <v>728815257</v>
      </c>
      <c r="H99" s="1">
        <v>42550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</row>
    <row r="100" spans="1:14" x14ac:dyDescent="0.35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 s="1">
        <v>42215</v>
      </c>
      <c r="G100">
        <v>559427106</v>
      </c>
      <c r="H100" s="1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</row>
    <row r="101" spans="1:14" x14ac:dyDescent="0.35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 s="1">
        <v>40949</v>
      </c>
      <c r="G101">
        <v>665095412</v>
      </c>
      <c r="H101" s="1">
        <v>40954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55F9-0AF5-4E6B-A7AD-6C7AC04C04AD}">
  <dimension ref="A1:P103"/>
  <sheetViews>
    <sheetView tabSelected="1" topLeftCell="C1" workbookViewId="0">
      <selection activeCell="I3" sqref="I3"/>
    </sheetView>
  </sheetViews>
  <sheetFormatPr defaultRowHeight="14.5" x14ac:dyDescent="0.35"/>
  <cols>
    <col min="1" max="1" width="30.36328125" style="3" bestFit="1" customWidth="1"/>
    <col min="2" max="2" width="29.36328125" bestFit="1" customWidth="1"/>
    <col min="3" max="3" width="13.1796875" bestFit="1" customWidth="1"/>
    <col min="4" max="4" width="12.26953125" bestFit="1" customWidth="1"/>
    <col min="5" max="5" width="12.1796875" bestFit="1" customWidth="1"/>
    <col min="6" max="6" width="17" style="1" bestFit="1" customWidth="1"/>
    <col min="7" max="7" width="9.81640625" bestFit="1" customWidth="1"/>
    <col min="8" max="8" width="10.08984375" bestFit="1" customWidth="1"/>
    <col min="9" max="9" width="9.08984375" bestFit="1" customWidth="1"/>
    <col min="11" max="11" width="8.36328125" bestFit="1" customWidth="1"/>
    <col min="12" max="12" width="12.6328125" bestFit="1" customWidth="1"/>
    <col min="13" max="14" width="10.81640625" bestFit="1" customWidth="1"/>
    <col min="15" max="15" width="11.7265625" style="2" bestFit="1" customWidth="1"/>
    <col min="16" max="16" width="12.36328125" bestFit="1" customWidth="1"/>
  </cols>
  <sheetData>
    <row r="1" spans="1:16" x14ac:dyDescent="0.35">
      <c r="I1" s="10" t="s">
        <v>115</v>
      </c>
      <c r="J1" s="11"/>
      <c r="K1" s="11"/>
    </row>
    <row r="3" spans="1:16" x14ac:dyDescent="0.35">
      <c r="A3" s="5" t="s">
        <v>0</v>
      </c>
      <c r="B3" s="7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5" t="s">
        <v>6</v>
      </c>
      <c r="H3" s="5" t="s">
        <v>7</v>
      </c>
      <c r="I3" s="5" t="s">
        <v>117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116</v>
      </c>
      <c r="P3" s="9"/>
    </row>
    <row r="4" spans="1:16" x14ac:dyDescent="0.35">
      <c r="A4" s="3" t="s">
        <v>14</v>
      </c>
      <c r="B4" s="8" t="s">
        <v>15</v>
      </c>
      <c r="C4" s="3" t="s">
        <v>16</v>
      </c>
      <c r="D4" s="3" t="s">
        <v>17</v>
      </c>
      <c r="E4" s="3" t="s">
        <v>18</v>
      </c>
      <c r="F4" s="4">
        <v>40326</v>
      </c>
      <c r="G4" s="3">
        <v>669165933</v>
      </c>
      <c r="H4" s="4">
        <v>40356</v>
      </c>
      <c r="I4" s="3">
        <v>9925</v>
      </c>
      <c r="J4" s="3">
        <v>255.28</v>
      </c>
      <c r="K4" s="3">
        <v>159.41999999999999</v>
      </c>
      <c r="L4" s="3">
        <v>2533654</v>
      </c>
      <c r="M4" s="3">
        <v>1582243.5</v>
      </c>
      <c r="N4" s="3">
        <v>951410.5</v>
      </c>
      <c r="O4" s="3">
        <f>N4/L4</f>
        <v>0.37550924475086178</v>
      </c>
    </row>
    <row r="5" spans="1:16" x14ac:dyDescent="0.35">
      <c r="A5" s="3" t="s">
        <v>14</v>
      </c>
      <c r="B5" s="8" t="s">
        <v>86</v>
      </c>
      <c r="C5" s="3" t="s">
        <v>44</v>
      </c>
      <c r="D5" s="3" t="s">
        <v>17</v>
      </c>
      <c r="E5" s="3" t="s">
        <v>23</v>
      </c>
      <c r="F5" s="4">
        <v>40359</v>
      </c>
      <c r="G5" s="3">
        <v>647876489</v>
      </c>
      <c r="H5" s="4">
        <v>40391</v>
      </c>
      <c r="I5" s="3">
        <v>9905</v>
      </c>
      <c r="J5" s="3">
        <v>109.28</v>
      </c>
      <c r="K5" s="3">
        <v>35.840000000000003</v>
      </c>
      <c r="L5" s="3">
        <v>1082418.3999999999</v>
      </c>
      <c r="M5" s="3">
        <v>354995.20000000001</v>
      </c>
      <c r="N5" s="3">
        <v>727423.2</v>
      </c>
      <c r="O5" s="3">
        <f>N5/L5</f>
        <v>0.67203513909224011</v>
      </c>
    </row>
    <row r="6" spans="1:16" x14ac:dyDescent="0.35">
      <c r="A6" s="3" t="s">
        <v>71</v>
      </c>
      <c r="B6" s="8" t="s">
        <v>97</v>
      </c>
      <c r="C6" s="3" t="s">
        <v>50</v>
      </c>
      <c r="D6" s="3" t="s">
        <v>17</v>
      </c>
      <c r="E6" s="3" t="s">
        <v>27</v>
      </c>
      <c r="F6" s="4">
        <v>41460</v>
      </c>
      <c r="G6" s="3">
        <v>231145322</v>
      </c>
      <c r="H6" s="4">
        <v>41502</v>
      </c>
      <c r="I6" s="3">
        <v>9892</v>
      </c>
      <c r="J6" s="3">
        <v>437.2</v>
      </c>
      <c r="K6" s="3">
        <v>263.33</v>
      </c>
      <c r="L6" s="3">
        <v>4324782.4000000004</v>
      </c>
      <c r="M6" s="3">
        <v>2604860.36</v>
      </c>
      <c r="N6" s="3">
        <v>1719922.04</v>
      </c>
      <c r="O6" s="3">
        <f>N6/L6</f>
        <v>0.39768984446477584</v>
      </c>
    </row>
    <row r="7" spans="1:16" x14ac:dyDescent="0.35">
      <c r="A7" s="3" t="s">
        <v>14</v>
      </c>
      <c r="B7" s="8" t="s">
        <v>103</v>
      </c>
      <c r="C7" s="3" t="s">
        <v>50</v>
      </c>
      <c r="D7" s="3" t="s">
        <v>22</v>
      </c>
      <c r="E7" s="3" t="s">
        <v>18</v>
      </c>
      <c r="F7" s="4">
        <v>41475</v>
      </c>
      <c r="G7" s="3">
        <v>670854651</v>
      </c>
      <c r="H7" s="4">
        <v>41493</v>
      </c>
      <c r="I7" s="3">
        <v>9654</v>
      </c>
      <c r="J7" s="3">
        <v>437.2</v>
      </c>
      <c r="K7" s="3">
        <v>263.33</v>
      </c>
      <c r="L7" s="3">
        <v>4220728.8</v>
      </c>
      <c r="M7" s="3">
        <v>2542187.8199999998</v>
      </c>
      <c r="N7" s="3">
        <v>1678540.98</v>
      </c>
      <c r="O7" s="3">
        <f>N7/L7</f>
        <v>0.39768984446477584</v>
      </c>
    </row>
    <row r="8" spans="1:16" x14ac:dyDescent="0.35">
      <c r="A8" s="3" t="s">
        <v>28</v>
      </c>
      <c r="B8" s="8" t="s">
        <v>82</v>
      </c>
      <c r="C8" s="3" t="s">
        <v>30</v>
      </c>
      <c r="D8" s="3" t="s">
        <v>22</v>
      </c>
      <c r="E8" s="3" t="s">
        <v>27</v>
      </c>
      <c r="F8" s="4">
        <v>41504</v>
      </c>
      <c r="G8" s="3">
        <v>918419539</v>
      </c>
      <c r="H8" s="4">
        <v>41535</v>
      </c>
      <c r="I8" s="3">
        <v>9606</v>
      </c>
      <c r="J8" s="3">
        <v>9.33</v>
      </c>
      <c r="K8" s="3">
        <v>6.92</v>
      </c>
      <c r="L8" s="3">
        <v>89623.98</v>
      </c>
      <c r="M8" s="3">
        <v>66473.52</v>
      </c>
      <c r="N8" s="3">
        <v>23150.46</v>
      </c>
      <c r="O8" s="3">
        <f>N8/L8</f>
        <v>0.25830653804930331</v>
      </c>
    </row>
    <row r="9" spans="1:16" x14ac:dyDescent="0.35">
      <c r="A9" s="3" t="s">
        <v>14</v>
      </c>
      <c r="B9" s="8" t="s">
        <v>67</v>
      </c>
      <c r="C9" s="3" t="s">
        <v>52</v>
      </c>
      <c r="D9" s="3" t="s">
        <v>17</v>
      </c>
      <c r="E9" s="3" t="s">
        <v>18</v>
      </c>
      <c r="F9" s="4">
        <v>41827</v>
      </c>
      <c r="G9" s="3">
        <v>240470397</v>
      </c>
      <c r="H9" s="4">
        <v>41831</v>
      </c>
      <c r="I9" s="3">
        <v>9389</v>
      </c>
      <c r="J9" s="3">
        <v>47.45</v>
      </c>
      <c r="K9" s="3">
        <v>31.79</v>
      </c>
      <c r="L9" s="3">
        <v>445508.05</v>
      </c>
      <c r="M9" s="3">
        <v>298476.31</v>
      </c>
      <c r="N9" s="3">
        <v>147031.74</v>
      </c>
      <c r="O9" s="3">
        <f>N9/L9</f>
        <v>0.33003161222339306</v>
      </c>
    </row>
    <row r="10" spans="1:16" x14ac:dyDescent="0.35">
      <c r="A10" s="3" t="s">
        <v>14</v>
      </c>
      <c r="B10" s="8" t="s">
        <v>100</v>
      </c>
      <c r="C10" s="3" t="s">
        <v>52</v>
      </c>
      <c r="D10" s="3" t="s">
        <v>22</v>
      </c>
      <c r="E10" s="3" t="s">
        <v>23</v>
      </c>
      <c r="F10" s="4">
        <v>41940</v>
      </c>
      <c r="G10" s="3">
        <v>217221009</v>
      </c>
      <c r="H10" s="4">
        <v>41958</v>
      </c>
      <c r="I10" s="3">
        <v>9379</v>
      </c>
      <c r="J10" s="3">
        <v>47.45</v>
      </c>
      <c r="K10" s="3">
        <v>31.79</v>
      </c>
      <c r="L10" s="3">
        <v>445033.55</v>
      </c>
      <c r="M10" s="3">
        <v>298158.40999999997</v>
      </c>
      <c r="N10" s="3">
        <v>146875.14000000001</v>
      </c>
      <c r="O10" s="3">
        <f>N10/L10</f>
        <v>0.33003161222339311</v>
      </c>
    </row>
    <row r="11" spans="1:16" x14ac:dyDescent="0.35">
      <c r="A11" s="3" t="s">
        <v>19</v>
      </c>
      <c r="B11" s="8" t="s">
        <v>46</v>
      </c>
      <c r="C11" s="3" t="s">
        <v>34</v>
      </c>
      <c r="D11" s="3" t="s">
        <v>17</v>
      </c>
      <c r="E11" s="3" t="s">
        <v>18</v>
      </c>
      <c r="F11" s="4">
        <v>42774</v>
      </c>
      <c r="G11" s="3">
        <v>522840487</v>
      </c>
      <c r="H11" s="4">
        <v>42779</v>
      </c>
      <c r="I11" s="3">
        <v>8974</v>
      </c>
      <c r="J11" s="3">
        <v>668.27</v>
      </c>
      <c r="K11" s="3">
        <v>502.54</v>
      </c>
      <c r="L11" s="3">
        <v>5997054.9800000004</v>
      </c>
      <c r="M11" s="3">
        <v>4509793.96</v>
      </c>
      <c r="N11" s="3">
        <v>1487261.02</v>
      </c>
      <c r="O11" s="3">
        <f>N11/L11</f>
        <v>0.24799856345489096</v>
      </c>
    </row>
    <row r="12" spans="1:16" x14ac:dyDescent="0.35">
      <c r="A12" s="3" t="s">
        <v>24</v>
      </c>
      <c r="B12" s="8" t="s">
        <v>78</v>
      </c>
      <c r="C12" s="3" t="s">
        <v>50</v>
      </c>
      <c r="D12" s="3" t="s">
        <v>22</v>
      </c>
      <c r="E12" s="3" t="s">
        <v>23</v>
      </c>
      <c r="F12" s="4">
        <v>42735</v>
      </c>
      <c r="G12" s="3">
        <v>331438481</v>
      </c>
      <c r="H12" s="4">
        <v>42735</v>
      </c>
      <c r="I12" s="3">
        <v>8867</v>
      </c>
      <c r="J12" s="3">
        <v>437.2</v>
      </c>
      <c r="K12" s="3">
        <v>263.33</v>
      </c>
      <c r="L12" s="3">
        <v>3876652.4</v>
      </c>
      <c r="M12" s="3">
        <v>2334947.11</v>
      </c>
      <c r="N12" s="3">
        <v>1541705.29</v>
      </c>
      <c r="O12" s="3">
        <f>N12/L12</f>
        <v>0.39768984446477584</v>
      </c>
    </row>
    <row r="13" spans="1:16" x14ac:dyDescent="0.35">
      <c r="A13" s="3" t="s">
        <v>28</v>
      </c>
      <c r="B13" s="8" t="s">
        <v>29</v>
      </c>
      <c r="C13" s="3" t="s">
        <v>52</v>
      </c>
      <c r="D13" s="3" t="s">
        <v>17</v>
      </c>
      <c r="E13" s="3" t="s">
        <v>23</v>
      </c>
      <c r="F13" s="4">
        <v>40559</v>
      </c>
      <c r="G13" s="3">
        <v>180283772</v>
      </c>
      <c r="H13" s="4">
        <v>40564</v>
      </c>
      <c r="I13" s="3">
        <v>8829</v>
      </c>
      <c r="J13" s="3">
        <v>47.45</v>
      </c>
      <c r="K13" s="3">
        <v>31.79</v>
      </c>
      <c r="L13" s="3">
        <v>418936.05</v>
      </c>
      <c r="M13" s="3">
        <v>280673.90999999997</v>
      </c>
      <c r="N13" s="3">
        <v>138262.14000000001</v>
      </c>
      <c r="O13" s="3">
        <f>N13/L13</f>
        <v>0.33003161222339311</v>
      </c>
    </row>
    <row r="14" spans="1:16" x14ac:dyDescent="0.35">
      <c r="A14" s="3" t="s">
        <v>24</v>
      </c>
      <c r="B14" s="8" t="s">
        <v>65</v>
      </c>
      <c r="C14" s="3" t="s">
        <v>50</v>
      </c>
      <c r="D14" s="3" t="s">
        <v>17</v>
      </c>
      <c r="E14" s="3" t="s">
        <v>35</v>
      </c>
      <c r="F14" s="4">
        <v>41169</v>
      </c>
      <c r="G14" s="3">
        <v>249693334</v>
      </c>
      <c r="H14" s="4">
        <v>41202</v>
      </c>
      <c r="I14" s="3">
        <v>8661</v>
      </c>
      <c r="J14" s="3">
        <v>437.2</v>
      </c>
      <c r="K14" s="3">
        <v>263.33</v>
      </c>
      <c r="L14" s="3">
        <v>3786589.2</v>
      </c>
      <c r="M14" s="3">
        <v>2280701.13</v>
      </c>
      <c r="N14" s="3">
        <v>1505888.07</v>
      </c>
      <c r="O14" s="3">
        <f>N14/L14</f>
        <v>0.39768984446477584</v>
      </c>
    </row>
    <row r="15" spans="1:16" x14ac:dyDescent="0.35">
      <c r="A15" s="3" t="s">
        <v>28</v>
      </c>
      <c r="B15" s="8" t="s">
        <v>69</v>
      </c>
      <c r="C15" s="3" t="s">
        <v>21</v>
      </c>
      <c r="D15" s="3" t="s">
        <v>22</v>
      </c>
      <c r="E15" s="3" t="s">
        <v>18</v>
      </c>
      <c r="F15" s="4">
        <v>42875</v>
      </c>
      <c r="G15" s="3">
        <v>555990016</v>
      </c>
      <c r="H15" s="4">
        <v>42903</v>
      </c>
      <c r="I15" s="3">
        <v>8656</v>
      </c>
      <c r="J15" s="3">
        <v>205.7</v>
      </c>
      <c r="K15" s="3">
        <v>117.11</v>
      </c>
      <c r="L15" s="3">
        <v>1780539.2</v>
      </c>
      <c r="M15" s="3">
        <v>1013704.16</v>
      </c>
      <c r="N15" s="3">
        <v>766835.04</v>
      </c>
      <c r="O15" s="3">
        <f>N15/L15</f>
        <v>0.43067574137092857</v>
      </c>
    </row>
    <row r="16" spans="1:16" x14ac:dyDescent="0.35">
      <c r="A16" s="3" t="s">
        <v>28</v>
      </c>
      <c r="B16" s="8" t="s">
        <v>92</v>
      </c>
      <c r="C16" s="3" t="s">
        <v>39</v>
      </c>
      <c r="D16" s="3" t="s">
        <v>17</v>
      </c>
      <c r="E16" s="3" t="s">
        <v>27</v>
      </c>
      <c r="F16" s="4">
        <v>41098</v>
      </c>
      <c r="G16" s="3">
        <v>228944623</v>
      </c>
      <c r="H16" s="4">
        <v>41099</v>
      </c>
      <c r="I16" s="3">
        <v>8656</v>
      </c>
      <c r="J16" s="3">
        <v>81.73</v>
      </c>
      <c r="K16" s="3">
        <v>56.67</v>
      </c>
      <c r="L16" s="3">
        <v>707454.88</v>
      </c>
      <c r="M16" s="3">
        <v>490535.52</v>
      </c>
      <c r="N16" s="3">
        <v>216919.36</v>
      </c>
      <c r="O16" s="3">
        <f>N16/L16</f>
        <v>0.30661935641747212</v>
      </c>
    </row>
    <row r="17" spans="1:15" x14ac:dyDescent="0.35">
      <c r="A17" s="3" t="s">
        <v>24</v>
      </c>
      <c r="B17" s="8" t="s">
        <v>102</v>
      </c>
      <c r="C17" s="3" t="s">
        <v>16</v>
      </c>
      <c r="D17" s="3" t="s">
        <v>17</v>
      </c>
      <c r="E17" s="3" t="s">
        <v>18</v>
      </c>
      <c r="F17" s="4">
        <v>41058</v>
      </c>
      <c r="G17" s="3">
        <v>688288152</v>
      </c>
      <c r="H17" s="4">
        <v>41062</v>
      </c>
      <c r="I17" s="3">
        <v>8614</v>
      </c>
      <c r="J17" s="3">
        <v>255.28</v>
      </c>
      <c r="K17" s="3">
        <v>159.41999999999999</v>
      </c>
      <c r="L17" s="3">
        <v>2198981.92</v>
      </c>
      <c r="M17" s="3">
        <v>1373243.88</v>
      </c>
      <c r="N17" s="3">
        <v>825738.04</v>
      </c>
      <c r="O17" s="3">
        <f>N17/L17</f>
        <v>0.37550924475086184</v>
      </c>
    </row>
    <row r="18" spans="1:15" x14ac:dyDescent="0.35">
      <c r="A18" s="3" t="s">
        <v>24</v>
      </c>
      <c r="B18" s="8" t="s">
        <v>94</v>
      </c>
      <c r="C18" s="3" t="s">
        <v>26</v>
      </c>
      <c r="D18" s="3" t="s">
        <v>17</v>
      </c>
      <c r="E18" s="3" t="s">
        <v>18</v>
      </c>
      <c r="F18" s="4">
        <v>40475</v>
      </c>
      <c r="G18" s="3">
        <v>166460740</v>
      </c>
      <c r="H18" s="4">
        <v>40499</v>
      </c>
      <c r="I18" s="3">
        <v>8287</v>
      </c>
      <c r="J18" s="3">
        <v>651.21</v>
      </c>
      <c r="K18" s="3">
        <v>524.96</v>
      </c>
      <c r="L18" s="3">
        <v>5396577.2699999996</v>
      </c>
      <c r="M18" s="3">
        <v>4350343.5199999996</v>
      </c>
      <c r="N18" s="3">
        <v>1046233.75</v>
      </c>
      <c r="O18" s="3">
        <f>N18/L18</f>
        <v>0.19386987300563568</v>
      </c>
    </row>
    <row r="19" spans="1:15" x14ac:dyDescent="0.35">
      <c r="A19" s="3" t="s">
        <v>41</v>
      </c>
      <c r="B19" s="8" t="s">
        <v>45</v>
      </c>
      <c r="C19" s="3" t="s">
        <v>44</v>
      </c>
      <c r="D19" s="3" t="s">
        <v>22</v>
      </c>
      <c r="E19" s="3" t="s">
        <v>27</v>
      </c>
      <c r="F19" s="4">
        <v>42748</v>
      </c>
      <c r="G19" s="3">
        <v>187310731</v>
      </c>
      <c r="H19" s="4">
        <v>42795</v>
      </c>
      <c r="I19" s="3">
        <v>8263</v>
      </c>
      <c r="J19" s="3">
        <v>109.28</v>
      </c>
      <c r="K19" s="3">
        <v>35.840000000000003</v>
      </c>
      <c r="L19" s="3">
        <v>902980.64</v>
      </c>
      <c r="M19" s="3">
        <v>296145.91999999998</v>
      </c>
      <c r="N19" s="3">
        <v>606834.72</v>
      </c>
      <c r="O19" s="3">
        <f>N19/L19</f>
        <v>0.67203513909224011</v>
      </c>
    </row>
    <row r="20" spans="1:15" x14ac:dyDescent="0.35">
      <c r="A20" s="3" t="s">
        <v>41</v>
      </c>
      <c r="B20" s="8" t="s">
        <v>68</v>
      </c>
      <c r="C20" s="3" t="s">
        <v>34</v>
      </c>
      <c r="D20" s="3" t="s">
        <v>17</v>
      </c>
      <c r="E20" s="3" t="s">
        <v>18</v>
      </c>
      <c r="F20" s="4">
        <v>42020</v>
      </c>
      <c r="G20" s="3">
        <v>177713572</v>
      </c>
      <c r="H20" s="4">
        <v>42064</v>
      </c>
      <c r="I20" s="3">
        <v>8250</v>
      </c>
      <c r="J20" s="3">
        <v>668.27</v>
      </c>
      <c r="K20" s="3">
        <v>502.54</v>
      </c>
      <c r="L20" s="3">
        <v>5513227.5</v>
      </c>
      <c r="M20" s="3">
        <v>4145955</v>
      </c>
      <c r="N20" s="3">
        <v>1367272.5</v>
      </c>
      <c r="O20" s="3">
        <f>N20/L20</f>
        <v>0.24799856345489099</v>
      </c>
    </row>
    <row r="21" spans="1:15" x14ac:dyDescent="0.35">
      <c r="A21" s="3" t="s">
        <v>19</v>
      </c>
      <c r="B21" s="8" t="s">
        <v>112</v>
      </c>
      <c r="C21" s="3" t="s">
        <v>52</v>
      </c>
      <c r="D21" s="3" t="s">
        <v>17</v>
      </c>
      <c r="E21" s="3" t="s">
        <v>23</v>
      </c>
      <c r="F21" s="4">
        <v>40582</v>
      </c>
      <c r="G21" s="3">
        <v>963392674</v>
      </c>
      <c r="H21" s="4">
        <v>40623</v>
      </c>
      <c r="I21" s="3">
        <v>8156</v>
      </c>
      <c r="J21" s="3">
        <v>47.45</v>
      </c>
      <c r="K21" s="3">
        <v>31.79</v>
      </c>
      <c r="L21" s="3">
        <v>387002.2</v>
      </c>
      <c r="M21" s="3">
        <v>259279.24</v>
      </c>
      <c r="N21" s="3">
        <v>127722.96</v>
      </c>
      <c r="O21" s="3">
        <f>N21/L21</f>
        <v>0.33003161222339306</v>
      </c>
    </row>
    <row r="22" spans="1:15" x14ac:dyDescent="0.35">
      <c r="A22" s="3" t="s">
        <v>28</v>
      </c>
      <c r="B22" s="8" t="s">
        <v>29</v>
      </c>
      <c r="C22" s="3" t="s">
        <v>30</v>
      </c>
      <c r="D22" s="3" t="s">
        <v>22</v>
      </c>
      <c r="E22" s="3" t="s">
        <v>23</v>
      </c>
      <c r="F22" s="4">
        <v>41810</v>
      </c>
      <c r="G22" s="3">
        <v>514321792</v>
      </c>
      <c r="H22" s="4">
        <v>41825</v>
      </c>
      <c r="I22" s="3">
        <v>8102</v>
      </c>
      <c r="J22" s="3">
        <v>9.33</v>
      </c>
      <c r="K22" s="3">
        <v>6.92</v>
      </c>
      <c r="L22" s="3">
        <v>75591.66</v>
      </c>
      <c r="M22" s="3">
        <v>56065.84</v>
      </c>
      <c r="N22" s="3">
        <v>19525.82</v>
      </c>
      <c r="O22" s="3">
        <f>N22/L22</f>
        <v>0.25830653804930331</v>
      </c>
    </row>
    <row r="23" spans="1:15" x14ac:dyDescent="0.35">
      <c r="A23" s="3" t="s">
        <v>28</v>
      </c>
      <c r="B23" s="8" t="s">
        <v>36</v>
      </c>
      <c r="C23" s="3" t="s">
        <v>37</v>
      </c>
      <c r="D23" s="3" t="s">
        <v>22</v>
      </c>
      <c r="E23" s="3" t="s">
        <v>18</v>
      </c>
      <c r="F23" s="4">
        <v>41107</v>
      </c>
      <c r="G23" s="3">
        <v>871543967</v>
      </c>
      <c r="H23" s="4">
        <v>41117</v>
      </c>
      <c r="I23" s="3">
        <v>8082</v>
      </c>
      <c r="J23" s="3">
        <v>154.06</v>
      </c>
      <c r="K23" s="3">
        <v>90.93</v>
      </c>
      <c r="L23" s="3">
        <v>1245112.92</v>
      </c>
      <c r="M23" s="3">
        <v>734896.26</v>
      </c>
      <c r="N23" s="3">
        <v>510216.66</v>
      </c>
      <c r="O23" s="3">
        <f>N23/L23</f>
        <v>0.40977541217707386</v>
      </c>
    </row>
    <row r="24" spans="1:15" x14ac:dyDescent="0.35">
      <c r="A24" s="3" t="s">
        <v>24</v>
      </c>
      <c r="B24" s="8" t="s">
        <v>111</v>
      </c>
      <c r="C24" s="3" t="s">
        <v>50</v>
      </c>
      <c r="D24" s="3" t="s">
        <v>22</v>
      </c>
      <c r="E24" s="3" t="s">
        <v>18</v>
      </c>
      <c r="F24" s="4">
        <v>40508</v>
      </c>
      <c r="G24" s="3">
        <v>660643374</v>
      </c>
      <c r="H24" s="4">
        <v>40537</v>
      </c>
      <c r="I24" s="3">
        <v>7910</v>
      </c>
      <c r="J24" s="3">
        <v>437.2</v>
      </c>
      <c r="K24" s="3">
        <v>263.33</v>
      </c>
      <c r="L24" s="3">
        <v>3458252</v>
      </c>
      <c r="M24" s="3">
        <v>2082940.3</v>
      </c>
      <c r="N24" s="3">
        <v>1375311.7</v>
      </c>
      <c r="O24" s="3">
        <f>N24/L24</f>
        <v>0.39768984446477584</v>
      </c>
    </row>
    <row r="25" spans="1:15" x14ac:dyDescent="0.35">
      <c r="A25" s="3" t="s">
        <v>71</v>
      </c>
      <c r="B25" s="8" t="s">
        <v>105</v>
      </c>
      <c r="C25" s="3" t="s">
        <v>44</v>
      </c>
      <c r="D25" s="3" t="s">
        <v>22</v>
      </c>
      <c r="E25" s="3" t="s">
        <v>27</v>
      </c>
      <c r="F25" s="4">
        <v>41170</v>
      </c>
      <c r="G25" s="3">
        <v>663110148</v>
      </c>
      <c r="H25" s="4">
        <v>41190</v>
      </c>
      <c r="I25" s="3">
        <v>7884</v>
      </c>
      <c r="J25" s="3">
        <v>109.28</v>
      </c>
      <c r="K25" s="3">
        <v>35.840000000000003</v>
      </c>
      <c r="L25" s="3">
        <v>861563.52</v>
      </c>
      <c r="M25" s="3">
        <v>282562.56</v>
      </c>
      <c r="N25" s="3">
        <v>579000.96</v>
      </c>
      <c r="O25" s="3">
        <f>N25/L25</f>
        <v>0.67203513909224011</v>
      </c>
    </row>
    <row r="26" spans="1:15" x14ac:dyDescent="0.35">
      <c r="A26" s="3" t="s">
        <v>24</v>
      </c>
      <c r="B26" s="8" t="s">
        <v>79</v>
      </c>
      <c r="C26" s="3" t="s">
        <v>44</v>
      </c>
      <c r="D26" s="3" t="s">
        <v>17</v>
      </c>
      <c r="E26" s="3" t="s">
        <v>23</v>
      </c>
      <c r="F26" s="4">
        <v>41926</v>
      </c>
      <c r="G26" s="3">
        <v>787399423</v>
      </c>
      <c r="H26" s="4">
        <v>41957</v>
      </c>
      <c r="I26" s="3">
        <v>7842</v>
      </c>
      <c r="J26" s="3">
        <v>109.28</v>
      </c>
      <c r="K26" s="3">
        <v>35.840000000000003</v>
      </c>
      <c r="L26" s="3">
        <v>856973.76</v>
      </c>
      <c r="M26" s="3">
        <v>281057.28000000003</v>
      </c>
      <c r="N26" s="3">
        <v>575916.48</v>
      </c>
      <c r="O26" s="3">
        <f>N26/L26</f>
        <v>0.67203513909224011</v>
      </c>
    </row>
    <row r="27" spans="1:15" x14ac:dyDescent="0.35">
      <c r="A27" s="3" t="s">
        <v>28</v>
      </c>
      <c r="B27" s="8" t="s">
        <v>29</v>
      </c>
      <c r="C27" s="3" t="s">
        <v>30</v>
      </c>
      <c r="D27" s="3" t="s">
        <v>17</v>
      </c>
      <c r="E27" s="3" t="s">
        <v>18</v>
      </c>
      <c r="F27" s="4">
        <v>41534</v>
      </c>
      <c r="G27" s="3">
        <v>508980977</v>
      </c>
      <c r="H27" s="4">
        <v>41571</v>
      </c>
      <c r="I27" s="3">
        <v>7637</v>
      </c>
      <c r="J27" s="3">
        <v>9.33</v>
      </c>
      <c r="K27" s="3">
        <v>6.92</v>
      </c>
      <c r="L27" s="3">
        <v>71253.210000000006</v>
      </c>
      <c r="M27" s="3">
        <v>52848.04</v>
      </c>
      <c r="N27" s="3">
        <v>18405.169999999998</v>
      </c>
      <c r="O27" s="3">
        <f>N27/L27</f>
        <v>0.25830653804930326</v>
      </c>
    </row>
    <row r="28" spans="1:15" x14ac:dyDescent="0.35">
      <c r="A28" s="3" t="s">
        <v>24</v>
      </c>
      <c r="B28" s="8" t="s">
        <v>56</v>
      </c>
      <c r="C28" s="3" t="s">
        <v>16</v>
      </c>
      <c r="D28" s="3" t="s">
        <v>22</v>
      </c>
      <c r="E28" s="3" t="s">
        <v>27</v>
      </c>
      <c r="F28" s="4">
        <v>41773</v>
      </c>
      <c r="G28" s="3">
        <v>819028031</v>
      </c>
      <c r="H28" s="4">
        <v>41818</v>
      </c>
      <c r="I28" s="3">
        <v>7450</v>
      </c>
      <c r="J28" s="3">
        <v>255.28</v>
      </c>
      <c r="K28" s="3">
        <v>159.41999999999999</v>
      </c>
      <c r="L28" s="3">
        <v>1901836</v>
      </c>
      <c r="M28" s="3">
        <v>1187679</v>
      </c>
      <c r="N28" s="3">
        <v>714157</v>
      </c>
      <c r="O28" s="3">
        <f>N28/L28</f>
        <v>0.37550924475086178</v>
      </c>
    </row>
    <row r="29" spans="1:15" x14ac:dyDescent="0.35">
      <c r="A29" s="3" t="s">
        <v>28</v>
      </c>
      <c r="B29" s="8" t="s">
        <v>95</v>
      </c>
      <c r="C29" s="3" t="s">
        <v>44</v>
      </c>
      <c r="D29" s="3" t="s">
        <v>17</v>
      </c>
      <c r="E29" s="3" t="s">
        <v>27</v>
      </c>
      <c r="F29" s="4">
        <v>42119</v>
      </c>
      <c r="G29" s="3">
        <v>610425555</v>
      </c>
      <c r="H29" s="4">
        <v>42152</v>
      </c>
      <c r="I29" s="3">
        <v>7342</v>
      </c>
      <c r="J29" s="3">
        <v>109.28</v>
      </c>
      <c r="K29" s="3">
        <v>35.840000000000003</v>
      </c>
      <c r="L29" s="3">
        <v>802333.76</v>
      </c>
      <c r="M29" s="3">
        <v>263137.28000000003</v>
      </c>
      <c r="N29" s="3">
        <v>539196.48</v>
      </c>
      <c r="O29" s="3">
        <f>N29/L29</f>
        <v>0.67203513909224011</v>
      </c>
    </row>
    <row r="30" spans="1:15" x14ac:dyDescent="0.35">
      <c r="A30" s="3" t="s">
        <v>28</v>
      </c>
      <c r="B30" s="8" t="s">
        <v>69</v>
      </c>
      <c r="C30" s="3" t="s">
        <v>58</v>
      </c>
      <c r="D30" s="3" t="s">
        <v>22</v>
      </c>
      <c r="E30" s="3" t="s">
        <v>35</v>
      </c>
      <c r="F30" s="4">
        <v>42791</v>
      </c>
      <c r="G30" s="3">
        <v>756274640</v>
      </c>
      <c r="H30" s="4">
        <v>42791</v>
      </c>
      <c r="I30" s="3">
        <v>7327</v>
      </c>
      <c r="J30" s="3">
        <v>152.58000000000001</v>
      </c>
      <c r="K30" s="3">
        <v>97.44</v>
      </c>
      <c r="L30" s="3">
        <v>1117953.6599999999</v>
      </c>
      <c r="M30" s="3">
        <v>713942.88</v>
      </c>
      <c r="N30" s="3">
        <v>404010.78</v>
      </c>
      <c r="O30" s="3">
        <f>N30/L30</f>
        <v>0.36138419189933157</v>
      </c>
    </row>
    <row r="31" spans="1:15" x14ac:dyDescent="0.35">
      <c r="A31" s="3" t="s">
        <v>71</v>
      </c>
      <c r="B31" s="8" t="s">
        <v>75</v>
      </c>
      <c r="C31" s="3" t="s">
        <v>50</v>
      </c>
      <c r="D31" s="3" t="s">
        <v>22</v>
      </c>
      <c r="E31" s="3" t="s">
        <v>35</v>
      </c>
      <c r="F31" s="4">
        <v>40215</v>
      </c>
      <c r="G31" s="3">
        <v>382392299</v>
      </c>
      <c r="H31" s="4">
        <v>40234</v>
      </c>
      <c r="I31" s="3">
        <v>7234</v>
      </c>
      <c r="J31" s="3">
        <v>437.2</v>
      </c>
      <c r="K31" s="3">
        <v>263.33</v>
      </c>
      <c r="L31" s="3">
        <v>3162704.8</v>
      </c>
      <c r="M31" s="3">
        <v>1904929.22</v>
      </c>
      <c r="N31" s="3">
        <v>1257775.58</v>
      </c>
      <c r="O31" s="3">
        <f>N31/L31</f>
        <v>0.3976898444647759</v>
      </c>
    </row>
    <row r="32" spans="1:15" x14ac:dyDescent="0.35">
      <c r="A32" s="3" t="s">
        <v>28</v>
      </c>
      <c r="B32" s="8" t="s">
        <v>69</v>
      </c>
      <c r="C32" s="3" t="s">
        <v>50</v>
      </c>
      <c r="D32" s="3" t="s">
        <v>17</v>
      </c>
      <c r="E32" s="3" t="s">
        <v>18</v>
      </c>
      <c r="F32" s="4">
        <v>41736</v>
      </c>
      <c r="G32" s="3">
        <v>259353148</v>
      </c>
      <c r="H32" s="4">
        <v>41748</v>
      </c>
      <c r="I32" s="3">
        <v>7215</v>
      </c>
      <c r="J32" s="3">
        <v>437.2</v>
      </c>
      <c r="K32" s="3">
        <v>263.33</v>
      </c>
      <c r="L32" s="3">
        <v>3154398</v>
      </c>
      <c r="M32" s="3">
        <v>1899925.95</v>
      </c>
      <c r="N32" s="3">
        <v>1254472.05</v>
      </c>
      <c r="O32" s="3">
        <f>N32/L32</f>
        <v>0.39768984446477584</v>
      </c>
    </row>
    <row r="33" spans="1:15" x14ac:dyDescent="0.35">
      <c r="A33" s="3" t="s">
        <v>98</v>
      </c>
      <c r="B33" s="8" t="s">
        <v>99</v>
      </c>
      <c r="C33" s="3" t="s">
        <v>34</v>
      </c>
      <c r="D33" s="3" t="s">
        <v>17</v>
      </c>
      <c r="E33" s="3" t="s">
        <v>23</v>
      </c>
      <c r="F33" s="4">
        <v>41949</v>
      </c>
      <c r="G33" s="3">
        <v>986435210</v>
      </c>
      <c r="H33" s="4">
        <v>41985</v>
      </c>
      <c r="I33" s="3">
        <v>6954</v>
      </c>
      <c r="J33" s="3">
        <v>668.27</v>
      </c>
      <c r="K33" s="3">
        <v>502.54</v>
      </c>
      <c r="L33" s="3">
        <v>4647149.58</v>
      </c>
      <c r="M33" s="3">
        <v>3494663.16</v>
      </c>
      <c r="N33" s="3">
        <v>1152486.42</v>
      </c>
      <c r="O33" s="3">
        <f>N33/L33</f>
        <v>0.24799856345489096</v>
      </c>
    </row>
    <row r="34" spans="1:15" x14ac:dyDescent="0.35">
      <c r="A34" s="3" t="s">
        <v>41</v>
      </c>
      <c r="B34" s="8" t="s">
        <v>49</v>
      </c>
      <c r="C34" s="3" t="s">
        <v>50</v>
      </c>
      <c r="D34" s="3" t="s">
        <v>17</v>
      </c>
      <c r="E34" s="3" t="s">
        <v>35</v>
      </c>
      <c r="F34" s="4">
        <v>42693</v>
      </c>
      <c r="G34" s="3">
        <v>419123971</v>
      </c>
      <c r="H34" s="4">
        <v>42722</v>
      </c>
      <c r="I34" s="3">
        <v>6952</v>
      </c>
      <c r="J34" s="3">
        <v>437.2</v>
      </c>
      <c r="K34" s="3">
        <v>263.33</v>
      </c>
      <c r="L34" s="3">
        <v>3039414.4</v>
      </c>
      <c r="M34" s="3">
        <v>1830670.16</v>
      </c>
      <c r="N34" s="3">
        <v>1208744.24</v>
      </c>
      <c r="O34" s="3">
        <f>N34/L34</f>
        <v>0.39768984446477584</v>
      </c>
    </row>
    <row r="35" spans="1:15" x14ac:dyDescent="0.35">
      <c r="A35" s="3" t="s">
        <v>41</v>
      </c>
      <c r="B35" s="8" t="s">
        <v>73</v>
      </c>
      <c r="C35" s="3" t="s">
        <v>26</v>
      </c>
      <c r="D35" s="3" t="s">
        <v>22</v>
      </c>
      <c r="E35" s="3" t="s">
        <v>27</v>
      </c>
      <c r="F35" s="4">
        <v>41000</v>
      </c>
      <c r="G35" s="3">
        <v>320009267</v>
      </c>
      <c r="H35" s="4">
        <v>41037</v>
      </c>
      <c r="I35" s="3">
        <v>6708</v>
      </c>
      <c r="J35" s="3">
        <v>651.21</v>
      </c>
      <c r="K35" s="3">
        <v>524.96</v>
      </c>
      <c r="L35" s="3">
        <v>4368316.68</v>
      </c>
      <c r="M35" s="3">
        <v>3521431.68</v>
      </c>
      <c r="N35" s="3">
        <v>846885</v>
      </c>
      <c r="O35" s="3">
        <f>N35/L35</f>
        <v>0.19386987300563568</v>
      </c>
    </row>
    <row r="36" spans="1:15" x14ac:dyDescent="0.35">
      <c r="A36" s="3" t="s">
        <v>28</v>
      </c>
      <c r="B36" s="8" t="s">
        <v>40</v>
      </c>
      <c r="C36" s="3" t="s">
        <v>21</v>
      </c>
      <c r="D36" s="3" t="s">
        <v>22</v>
      </c>
      <c r="E36" s="3" t="s">
        <v>18</v>
      </c>
      <c r="F36" s="4">
        <v>41747</v>
      </c>
      <c r="G36" s="3">
        <v>616607081</v>
      </c>
      <c r="H36" s="4">
        <v>41789</v>
      </c>
      <c r="I36" s="3">
        <v>6593</v>
      </c>
      <c r="J36" s="3">
        <v>205.7</v>
      </c>
      <c r="K36" s="3">
        <v>117.11</v>
      </c>
      <c r="L36" s="3">
        <v>1356180.1</v>
      </c>
      <c r="M36" s="3">
        <v>772106.23</v>
      </c>
      <c r="N36" s="3">
        <v>584073.87</v>
      </c>
      <c r="O36" s="3">
        <f>N36/L36</f>
        <v>0.43067574137092851</v>
      </c>
    </row>
    <row r="37" spans="1:15" x14ac:dyDescent="0.35">
      <c r="A37" s="3" t="s">
        <v>71</v>
      </c>
      <c r="B37" s="8" t="s">
        <v>106</v>
      </c>
      <c r="C37" s="3" t="s">
        <v>50</v>
      </c>
      <c r="D37" s="3" t="s">
        <v>22</v>
      </c>
      <c r="E37" s="3" t="s">
        <v>18</v>
      </c>
      <c r="F37" s="4">
        <v>42689</v>
      </c>
      <c r="G37" s="3">
        <v>286959302</v>
      </c>
      <c r="H37" s="4">
        <v>42712</v>
      </c>
      <c r="I37" s="3">
        <v>6489</v>
      </c>
      <c r="J37" s="3">
        <v>437.2</v>
      </c>
      <c r="K37" s="3">
        <v>263.33</v>
      </c>
      <c r="L37" s="3">
        <v>2836990.8</v>
      </c>
      <c r="M37" s="3">
        <v>1708748.37</v>
      </c>
      <c r="N37" s="3">
        <v>1128242.43</v>
      </c>
      <c r="O37" s="3">
        <f>N37/L37</f>
        <v>0.39768984446477584</v>
      </c>
    </row>
    <row r="38" spans="1:15" x14ac:dyDescent="0.35">
      <c r="A38" s="3" t="s">
        <v>28</v>
      </c>
      <c r="B38" s="8" t="s">
        <v>108</v>
      </c>
      <c r="C38" s="3" t="s">
        <v>37</v>
      </c>
      <c r="D38" s="3" t="s">
        <v>22</v>
      </c>
      <c r="E38" s="3" t="s">
        <v>27</v>
      </c>
      <c r="F38" s="4">
        <v>40986</v>
      </c>
      <c r="G38" s="3">
        <v>827844560</v>
      </c>
      <c r="H38" s="4">
        <v>41006</v>
      </c>
      <c r="I38" s="3">
        <v>6457</v>
      </c>
      <c r="J38" s="3">
        <v>154.06</v>
      </c>
      <c r="K38" s="3">
        <v>90.93</v>
      </c>
      <c r="L38" s="3">
        <v>994765.42</v>
      </c>
      <c r="M38" s="3">
        <v>587135.01</v>
      </c>
      <c r="N38" s="3">
        <v>407630.41</v>
      </c>
      <c r="O38" s="3">
        <f>N38/L38</f>
        <v>0.40977541217707381</v>
      </c>
    </row>
    <row r="39" spans="1:15" x14ac:dyDescent="0.35">
      <c r="A39" s="3" t="s">
        <v>98</v>
      </c>
      <c r="B39" s="8" t="s">
        <v>99</v>
      </c>
      <c r="C39" s="3" t="s">
        <v>39</v>
      </c>
      <c r="D39" s="3" t="s">
        <v>17</v>
      </c>
      <c r="E39" s="3" t="s">
        <v>27</v>
      </c>
      <c r="F39" s="4">
        <v>40956</v>
      </c>
      <c r="G39" s="3">
        <v>430915820</v>
      </c>
      <c r="H39" s="4">
        <v>40988</v>
      </c>
      <c r="I39" s="3">
        <v>6422</v>
      </c>
      <c r="J39" s="3">
        <v>81.73</v>
      </c>
      <c r="K39" s="3">
        <v>56.67</v>
      </c>
      <c r="L39" s="3">
        <v>524870.06000000006</v>
      </c>
      <c r="M39" s="3">
        <v>363934.74</v>
      </c>
      <c r="N39" s="3">
        <v>160935.32</v>
      </c>
      <c r="O39" s="3">
        <f>N39/L39</f>
        <v>0.30661935641747212</v>
      </c>
    </row>
    <row r="40" spans="1:15" x14ac:dyDescent="0.35">
      <c r="A40" s="3" t="s">
        <v>19</v>
      </c>
      <c r="B40" s="8" t="s">
        <v>70</v>
      </c>
      <c r="C40" s="3" t="s">
        <v>39</v>
      </c>
      <c r="D40" s="3" t="s">
        <v>17</v>
      </c>
      <c r="E40" s="3" t="s">
        <v>27</v>
      </c>
      <c r="F40" s="4">
        <v>42863</v>
      </c>
      <c r="G40" s="3">
        <v>456767165</v>
      </c>
      <c r="H40" s="4">
        <v>42876</v>
      </c>
      <c r="I40" s="3">
        <v>6409</v>
      </c>
      <c r="J40" s="3">
        <v>81.73</v>
      </c>
      <c r="K40" s="3">
        <v>56.67</v>
      </c>
      <c r="L40" s="3">
        <v>523807.57</v>
      </c>
      <c r="M40" s="3">
        <v>363198.03</v>
      </c>
      <c r="N40" s="3">
        <v>160609.54</v>
      </c>
      <c r="O40" s="3">
        <f>N40/L40</f>
        <v>0.30661935641747218</v>
      </c>
    </row>
    <row r="41" spans="1:15" x14ac:dyDescent="0.35">
      <c r="A41" s="3" t="s">
        <v>41</v>
      </c>
      <c r="B41" s="8" t="s">
        <v>113</v>
      </c>
      <c r="C41" s="3" t="s">
        <v>30</v>
      </c>
      <c r="D41" s="3" t="s">
        <v>17</v>
      </c>
      <c r="E41" s="3" t="s">
        <v>27</v>
      </c>
      <c r="F41" s="4">
        <v>40858</v>
      </c>
      <c r="G41" s="3">
        <v>810711038</v>
      </c>
      <c r="H41" s="4">
        <v>40905</v>
      </c>
      <c r="I41" s="3">
        <v>6267</v>
      </c>
      <c r="J41" s="3">
        <v>9.33</v>
      </c>
      <c r="K41" s="3">
        <v>6.92</v>
      </c>
      <c r="L41" s="3">
        <v>58471.11</v>
      </c>
      <c r="M41" s="3">
        <v>43367.64</v>
      </c>
      <c r="N41" s="3">
        <v>15103.47</v>
      </c>
      <c r="O41" s="3">
        <f>N41/L41</f>
        <v>0.25830653804930331</v>
      </c>
    </row>
    <row r="42" spans="1:15" x14ac:dyDescent="0.35">
      <c r="A42" s="3" t="s">
        <v>71</v>
      </c>
      <c r="B42" s="8" t="s">
        <v>90</v>
      </c>
      <c r="C42" s="3" t="s">
        <v>44</v>
      </c>
      <c r="D42" s="3" t="s">
        <v>17</v>
      </c>
      <c r="E42" s="3" t="s">
        <v>18</v>
      </c>
      <c r="F42" s="4">
        <v>40481</v>
      </c>
      <c r="G42" s="3">
        <v>705784308</v>
      </c>
      <c r="H42" s="4">
        <v>40499</v>
      </c>
      <c r="I42" s="3">
        <v>6116</v>
      </c>
      <c r="J42" s="3">
        <v>109.28</v>
      </c>
      <c r="K42" s="3">
        <v>35.840000000000003</v>
      </c>
      <c r="L42" s="3">
        <v>668356.48</v>
      </c>
      <c r="M42" s="3">
        <v>219197.44</v>
      </c>
      <c r="N42" s="3">
        <v>449159.04</v>
      </c>
      <c r="O42" s="3">
        <f>N42/L42</f>
        <v>0.67203513909224011</v>
      </c>
    </row>
    <row r="43" spans="1:15" x14ac:dyDescent="0.35">
      <c r="A43" s="3" t="s">
        <v>28</v>
      </c>
      <c r="B43" s="8" t="s">
        <v>38</v>
      </c>
      <c r="C43" s="3" t="s">
        <v>39</v>
      </c>
      <c r="D43" s="3" t="s">
        <v>17</v>
      </c>
      <c r="E43" s="3" t="s">
        <v>35</v>
      </c>
      <c r="F43" s="4">
        <v>42199</v>
      </c>
      <c r="G43" s="3">
        <v>770463311</v>
      </c>
      <c r="H43" s="4">
        <v>42241</v>
      </c>
      <c r="I43" s="3">
        <v>6070</v>
      </c>
      <c r="J43" s="3">
        <v>81.73</v>
      </c>
      <c r="K43" s="3">
        <v>56.67</v>
      </c>
      <c r="L43" s="3">
        <v>496101.1</v>
      </c>
      <c r="M43" s="3">
        <v>343986.9</v>
      </c>
      <c r="N43" s="3">
        <v>152114.20000000001</v>
      </c>
      <c r="O43" s="3">
        <f>N43/L43</f>
        <v>0.30661935641747218</v>
      </c>
    </row>
    <row r="44" spans="1:15" x14ac:dyDescent="0.35">
      <c r="A44" s="3" t="s">
        <v>41</v>
      </c>
      <c r="B44" s="8" t="s">
        <v>68</v>
      </c>
      <c r="C44" s="3" t="s">
        <v>44</v>
      </c>
      <c r="D44" s="3" t="s">
        <v>22</v>
      </c>
      <c r="E44" s="3" t="s">
        <v>18</v>
      </c>
      <c r="F44" s="4">
        <v>42322</v>
      </c>
      <c r="G44" s="3">
        <v>223359620</v>
      </c>
      <c r="H44" s="4">
        <v>42326</v>
      </c>
      <c r="I44" s="3">
        <v>5930</v>
      </c>
      <c r="J44" s="3">
        <v>109.28</v>
      </c>
      <c r="K44" s="3">
        <v>35.840000000000003</v>
      </c>
      <c r="L44" s="3">
        <v>648030.4</v>
      </c>
      <c r="M44" s="3">
        <v>212531.20000000001</v>
      </c>
      <c r="N44" s="3">
        <v>435499.2</v>
      </c>
      <c r="O44" s="3">
        <f>N44/L44</f>
        <v>0.67203513909224011</v>
      </c>
    </row>
    <row r="45" spans="1:15" x14ac:dyDescent="0.35">
      <c r="A45" s="3" t="s">
        <v>14</v>
      </c>
      <c r="B45" s="8" t="s">
        <v>54</v>
      </c>
      <c r="C45" s="3" t="s">
        <v>55</v>
      </c>
      <c r="D45" s="3" t="s">
        <v>22</v>
      </c>
      <c r="E45" s="3" t="s">
        <v>27</v>
      </c>
      <c r="F45" s="4">
        <v>41121</v>
      </c>
      <c r="G45" s="3">
        <v>322067916</v>
      </c>
      <c r="H45" s="4">
        <v>41163</v>
      </c>
      <c r="I45" s="3">
        <v>5908</v>
      </c>
      <c r="J45" s="3">
        <v>421.89</v>
      </c>
      <c r="K45" s="3">
        <v>364.69</v>
      </c>
      <c r="L45" s="3">
        <v>2492526.12</v>
      </c>
      <c r="M45" s="3">
        <v>2154588.52</v>
      </c>
      <c r="N45" s="3">
        <v>337937.6</v>
      </c>
      <c r="O45" s="3">
        <f>N45/L45</f>
        <v>0.13558036455000116</v>
      </c>
    </row>
    <row r="46" spans="1:15" x14ac:dyDescent="0.35">
      <c r="A46" s="3" t="s">
        <v>28</v>
      </c>
      <c r="B46" s="8" t="s">
        <v>63</v>
      </c>
      <c r="C46" s="3" t="s">
        <v>30</v>
      </c>
      <c r="D46" s="3" t="s">
        <v>22</v>
      </c>
      <c r="E46" s="3" t="s">
        <v>27</v>
      </c>
      <c r="F46" s="4">
        <v>40305</v>
      </c>
      <c r="G46" s="3">
        <v>686048400</v>
      </c>
      <c r="H46" s="4">
        <v>40308</v>
      </c>
      <c r="I46" s="3">
        <v>5822</v>
      </c>
      <c r="J46" s="3">
        <v>9.33</v>
      </c>
      <c r="K46" s="3">
        <v>6.92</v>
      </c>
      <c r="L46" s="3">
        <v>54319.26</v>
      </c>
      <c r="M46" s="3">
        <v>40288.239999999998</v>
      </c>
      <c r="N46" s="3">
        <v>14031.02</v>
      </c>
      <c r="O46" s="3">
        <f>N46/L46</f>
        <v>0.25830653804930331</v>
      </c>
    </row>
    <row r="47" spans="1:15" x14ac:dyDescent="0.35">
      <c r="A47" s="3" t="s">
        <v>98</v>
      </c>
      <c r="B47" s="8" t="s">
        <v>99</v>
      </c>
      <c r="C47" s="3" t="s">
        <v>39</v>
      </c>
      <c r="D47" s="3" t="s">
        <v>17</v>
      </c>
      <c r="E47" s="3" t="s">
        <v>35</v>
      </c>
      <c r="F47" s="4">
        <v>42215</v>
      </c>
      <c r="G47" s="3">
        <v>559427106</v>
      </c>
      <c r="H47" s="4">
        <v>42224</v>
      </c>
      <c r="I47" s="3">
        <v>5767</v>
      </c>
      <c r="J47" s="3">
        <v>81.73</v>
      </c>
      <c r="K47" s="3">
        <v>56.67</v>
      </c>
      <c r="L47" s="3">
        <v>471336.91</v>
      </c>
      <c r="M47" s="3">
        <v>326815.89</v>
      </c>
      <c r="N47" s="3">
        <v>144521.01999999999</v>
      </c>
      <c r="O47" s="3">
        <f>N47/L47</f>
        <v>0.30661935641747218</v>
      </c>
    </row>
    <row r="48" spans="1:15" x14ac:dyDescent="0.35">
      <c r="A48" s="3" t="s">
        <v>28</v>
      </c>
      <c r="B48" s="8" t="s">
        <v>96</v>
      </c>
      <c r="C48" s="3" t="s">
        <v>52</v>
      </c>
      <c r="D48" s="3" t="s">
        <v>22</v>
      </c>
      <c r="E48" s="3" t="s">
        <v>23</v>
      </c>
      <c r="F48" s="4">
        <v>40689</v>
      </c>
      <c r="G48" s="3">
        <v>585920464</v>
      </c>
      <c r="H48" s="4">
        <v>40739</v>
      </c>
      <c r="I48" s="3">
        <v>5741</v>
      </c>
      <c r="J48" s="3">
        <v>47.45</v>
      </c>
      <c r="K48" s="3">
        <v>31.79</v>
      </c>
      <c r="L48" s="3">
        <v>272410.45</v>
      </c>
      <c r="M48" s="3">
        <v>182506.39</v>
      </c>
      <c r="N48" s="3">
        <v>89904.06</v>
      </c>
      <c r="O48" s="3">
        <f>N48/L48</f>
        <v>0.330031612223393</v>
      </c>
    </row>
    <row r="49" spans="1:15" x14ac:dyDescent="0.35">
      <c r="A49" s="3" t="s">
        <v>28</v>
      </c>
      <c r="B49" s="8" t="s">
        <v>64</v>
      </c>
      <c r="C49" s="3" t="s">
        <v>16</v>
      </c>
      <c r="D49" s="3" t="s">
        <v>17</v>
      </c>
      <c r="E49" s="3" t="s">
        <v>35</v>
      </c>
      <c r="F49" s="4">
        <v>41673</v>
      </c>
      <c r="G49" s="3">
        <v>494747245</v>
      </c>
      <c r="H49" s="4">
        <v>41718</v>
      </c>
      <c r="I49" s="3">
        <v>5559</v>
      </c>
      <c r="J49" s="3">
        <v>255.28</v>
      </c>
      <c r="K49" s="3">
        <v>159.41999999999999</v>
      </c>
      <c r="L49" s="3">
        <v>1419101.52</v>
      </c>
      <c r="M49" s="3">
        <v>886215.78</v>
      </c>
      <c r="N49" s="3">
        <v>532885.74</v>
      </c>
      <c r="O49" s="3">
        <f>N49/L49</f>
        <v>0.37550924475086178</v>
      </c>
    </row>
    <row r="50" spans="1:15" x14ac:dyDescent="0.35">
      <c r="A50" s="3" t="s">
        <v>28</v>
      </c>
      <c r="B50" s="8" t="s">
        <v>51</v>
      </c>
      <c r="C50" s="3" t="s">
        <v>26</v>
      </c>
      <c r="D50" s="3" t="s">
        <v>22</v>
      </c>
      <c r="E50" s="3" t="s">
        <v>35</v>
      </c>
      <c r="F50" s="4">
        <v>40854</v>
      </c>
      <c r="G50" s="3">
        <v>177636754</v>
      </c>
      <c r="H50" s="4">
        <v>40862</v>
      </c>
      <c r="I50" s="3">
        <v>5518</v>
      </c>
      <c r="J50" s="3">
        <v>651.21</v>
      </c>
      <c r="K50" s="3">
        <v>524.96</v>
      </c>
      <c r="L50" s="3">
        <v>3593376.78</v>
      </c>
      <c r="M50" s="3">
        <v>2896729.28</v>
      </c>
      <c r="N50" s="3">
        <v>696647.5</v>
      </c>
      <c r="O50" s="3">
        <f>N50/L50</f>
        <v>0.19386987300563568</v>
      </c>
    </row>
    <row r="51" spans="1:15" x14ac:dyDescent="0.35">
      <c r="A51" s="3" t="s">
        <v>19</v>
      </c>
      <c r="B51" s="8" t="s">
        <v>93</v>
      </c>
      <c r="C51" s="3" t="s">
        <v>44</v>
      </c>
      <c r="D51" s="3" t="s">
        <v>17</v>
      </c>
      <c r="E51" s="3" t="s">
        <v>35</v>
      </c>
      <c r="F51" s="4">
        <v>42576</v>
      </c>
      <c r="G51" s="3">
        <v>807025039</v>
      </c>
      <c r="H51" s="4">
        <v>42620</v>
      </c>
      <c r="I51" s="3">
        <v>5498</v>
      </c>
      <c r="J51" s="3">
        <v>109.28</v>
      </c>
      <c r="K51" s="3">
        <v>35.840000000000003</v>
      </c>
      <c r="L51" s="3">
        <v>600821.43999999994</v>
      </c>
      <c r="M51" s="3">
        <v>197048.32000000001</v>
      </c>
      <c r="N51" s="3">
        <v>403773.12</v>
      </c>
      <c r="O51" s="3">
        <f>N51/L51</f>
        <v>0.67203513909224022</v>
      </c>
    </row>
    <row r="52" spans="1:15" x14ac:dyDescent="0.35">
      <c r="A52" s="3" t="s">
        <v>28</v>
      </c>
      <c r="B52" s="8" t="s">
        <v>51</v>
      </c>
      <c r="C52" s="3" t="s">
        <v>52</v>
      </c>
      <c r="D52" s="3" t="s">
        <v>17</v>
      </c>
      <c r="E52" s="3" t="s">
        <v>23</v>
      </c>
      <c r="F52" s="4">
        <v>42095</v>
      </c>
      <c r="G52" s="3">
        <v>519820964</v>
      </c>
      <c r="H52" s="4">
        <v>42112</v>
      </c>
      <c r="I52" s="3">
        <v>5430</v>
      </c>
      <c r="J52" s="3">
        <v>47.45</v>
      </c>
      <c r="K52" s="3">
        <v>31.79</v>
      </c>
      <c r="L52" s="3">
        <v>257653.5</v>
      </c>
      <c r="M52" s="3">
        <v>172619.7</v>
      </c>
      <c r="N52" s="3">
        <v>85033.8</v>
      </c>
      <c r="O52" s="3">
        <f>N52/L52</f>
        <v>0.33003161222339306</v>
      </c>
    </row>
    <row r="53" spans="1:15" x14ac:dyDescent="0.35">
      <c r="A53" s="3" t="s">
        <v>14</v>
      </c>
      <c r="B53" s="8" t="s">
        <v>62</v>
      </c>
      <c r="C53" s="3" t="s">
        <v>30</v>
      </c>
      <c r="D53" s="3" t="s">
        <v>22</v>
      </c>
      <c r="E53" s="3" t="s">
        <v>35</v>
      </c>
      <c r="F53" s="4">
        <v>41925</v>
      </c>
      <c r="G53" s="3">
        <v>347140347</v>
      </c>
      <c r="H53" s="4">
        <v>41953</v>
      </c>
      <c r="I53" s="3">
        <v>5398</v>
      </c>
      <c r="J53" s="3">
        <v>9.33</v>
      </c>
      <c r="K53" s="3">
        <v>6.92</v>
      </c>
      <c r="L53" s="3">
        <v>50363.34</v>
      </c>
      <c r="M53" s="3">
        <v>37354.160000000003</v>
      </c>
      <c r="N53" s="3">
        <v>13009.18</v>
      </c>
      <c r="O53" s="3">
        <f>N53/L53</f>
        <v>0.25830653804930337</v>
      </c>
    </row>
    <row r="54" spans="1:15" x14ac:dyDescent="0.35">
      <c r="A54" s="3" t="s">
        <v>28</v>
      </c>
      <c r="B54" s="8" t="s">
        <v>114</v>
      </c>
      <c r="C54" s="3" t="s">
        <v>34</v>
      </c>
      <c r="D54" s="3" t="s">
        <v>17</v>
      </c>
      <c r="E54" s="3" t="s">
        <v>27</v>
      </c>
      <c r="F54" s="4">
        <v>40949</v>
      </c>
      <c r="G54" s="3">
        <v>665095412</v>
      </c>
      <c r="H54" s="4">
        <v>40954</v>
      </c>
      <c r="I54" s="3">
        <v>5367</v>
      </c>
      <c r="J54" s="3">
        <v>668.27</v>
      </c>
      <c r="K54" s="3">
        <v>502.54</v>
      </c>
      <c r="L54" s="3">
        <v>3586605.09</v>
      </c>
      <c r="M54" s="3">
        <v>2697132.18</v>
      </c>
      <c r="N54" s="3">
        <v>889472.91</v>
      </c>
      <c r="O54" s="3">
        <f>N54/L54</f>
        <v>0.24799856345489102</v>
      </c>
    </row>
    <row r="55" spans="1:15" x14ac:dyDescent="0.35">
      <c r="A55" s="3" t="s">
        <v>24</v>
      </c>
      <c r="B55" s="8" t="s">
        <v>56</v>
      </c>
      <c r="C55" s="3" t="s">
        <v>52</v>
      </c>
      <c r="D55" s="3" t="s">
        <v>17</v>
      </c>
      <c r="E55" s="3" t="s">
        <v>23</v>
      </c>
      <c r="F55" s="4">
        <v>41838</v>
      </c>
      <c r="G55" s="3">
        <v>435608613</v>
      </c>
      <c r="H55" s="4">
        <v>41850</v>
      </c>
      <c r="I55" s="3">
        <v>5124</v>
      </c>
      <c r="J55" s="3">
        <v>47.45</v>
      </c>
      <c r="K55" s="3">
        <v>31.79</v>
      </c>
      <c r="L55" s="3">
        <v>243133.8</v>
      </c>
      <c r="M55" s="3">
        <v>162891.96</v>
      </c>
      <c r="N55" s="3">
        <v>80241.84</v>
      </c>
      <c r="O55" s="3">
        <f>N55/L55</f>
        <v>0.33003161222339306</v>
      </c>
    </row>
    <row r="56" spans="1:15" x14ac:dyDescent="0.35">
      <c r="A56" s="3" t="s">
        <v>24</v>
      </c>
      <c r="B56" s="8" t="s">
        <v>60</v>
      </c>
      <c r="C56" s="3" t="s">
        <v>39</v>
      </c>
      <c r="D56" s="3" t="s">
        <v>22</v>
      </c>
      <c r="E56" s="3" t="s">
        <v>27</v>
      </c>
      <c r="F56" s="4">
        <v>42497</v>
      </c>
      <c r="G56" s="3">
        <v>740147912</v>
      </c>
      <c r="H56" s="4">
        <v>42500</v>
      </c>
      <c r="I56" s="3">
        <v>5070</v>
      </c>
      <c r="J56" s="3">
        <v>81.73</v>
      </c>
      <c r="K56" s="3">
        <v>56.67</v>
      </c>
      <c r="L56" s="3">
        <v>414371.1</v>
      </c>
      <c r="M56" s="3">
        <v>287316.90000000002</v>
      </c>
      <c r="N56" s="3">
        <v>127054.2</v>
      </c>
      <c r="O56" s="3">
        <f>N56/L56</f>
        <v>0.30661935641747218</v>
      </c>
    </row>
    <row r="57" spans="1:15" x14ac:dyDescent="0.35">
      <c r="A57" s="3" t="s">
        <v>28</v>
      </c>
      <c r="B57" s="8" t="s">
        <v>31</v>
      </c>
      <c r="C57" s="3" t="s">
        <v>26</v>
      </c>
      <c r="D57" s="3" t="s">
        <v>17</v>
      </c>
      <c r="E57" s="3" t="s">
        <v>27</v>
      </c>
      <c r="F57" s="4">
        <v>41306</v>
      </c>
      <c r="G57" s="3">
        <v>115456712</v>
      </c>
      <c r="H57" s="4">
        <v>41311</v>
      </c>
      <c r="I57" s="3">
        <v>5062</v>
      </c>
      <c r="J57" s="3">
        <v>651.21</v>
      </c>
      <c r="K57" s="3">
        <v>524.96</v>
      </c>
      <c r="L57" s="3">
        <v>3296425.02</v>
      </c>
      <c r="M57" s="3">
        <v>2657347.52</v>
      </c>
      <c r="N57" s="3">
        <v>639077.5</v>
      </c>
      <c r="O57" s="3">
        <f>N57/L57</f>
        <v>0.19386987300563566</v>
      </c>
    </row>
    <row r="58" spans="1:15" x14ac:dyDescent="0.35">
      <c r="A58" s="3" t="s">
        <v>41</v>
      </c>
      <c r="B58" s="8" t="s">
        <v>53</v>
      </c>
      <c r="C58" s="3" t="s">
        <v>26</v>
      </c>
      <c r="D58" s="3" t="s">
        <v>22</v>
      </c>
      <c r="E58" s="3" t="s">
        <v>35</v>
      </c>
      <c r="F58" s="4">
        <v>41387</v>
      </c>
      <c r="G58" s="3">
        <v>462405812</v>
      </c>
      <c r="H58" s="4">
        <v>41414</v>
      </c>
      <c r="I58" s="3">
        <v>5010</v>
      </c>
      <c r="J58" s="3">
        <v>651.21</v>
      </c>
      <c r="K58" s="3">
        <v>524.96</v>
      </c>
      <c r="L58" s="3">
        <v>3262562.1</v>
      </c>
      <c r="M58" s="3">
        <v>2630049.6</v>
      </c>
      <c r="N58" s="3">
        <v>632512.5</v>
      </c>
      <c r="O58" s="3">
        <f>N58/L58</f>
        <v>0.19386987300563566</v>
      </c>
    </row>
    <row r="59" spans="1:15" x14ac:dyDescent="0.35">
      <c r="A59" s="3" t="s">
        <v>41</v>
      </c>
      <c r="B59" s="8" t="s">
        <v>47</v>
      </c>
      <c r="C59" s="3" t="s">
        <v>39</v>
      </c>
      <c r="D59" s="3" t="s">
        <v>17</v>
      </c>
      <c r="E59" s="3" t="s">
        <v>23</v>
      </c>
      <c r="F59" s="4">
        <v>41689</v>
      </c>
      <c r="G59" s="3">
        <v>832401311</v>
      </c>
      <c r="H59" s="4">
        <v>41693</v>
      </c>
      <c r="I59" s="3">
        <v>4901</v>
      </c>
      <c r="J59" s="3">
        <v>81.73</v>
      </c>
      <c r="K59" s="3">
        <v>56.67</v>
      </c>
      <c r="L59" s="3">
        <v>400558.73</v>
      </c>
      <c r="M59" s="3">
        <v>277739.67</v>
      </c>
      <c r="N59" s="3">
        <v>122819.06</v>
      </c>
      <c r="O59" s="3">
        <f>N59/L59</f>
        <v>0.30661935641747218</v>
      </c>
    </row>
    <row r="60" spans="1:15" x14ac:dyDescent="0.35">
      <c r="A60" s="3" t="s">
        <v>28</v>
      </c>
      <c r="B60" s="8" t="s">
        <v>64</v>
      </c>
      <c r="C60" s="3" t="s">
        <v>55</v>
      </c>
      <c r="D60" s="3" t="s">
        <v>22</v>
      </c>
      <c r="E60" s="3" t="s">
        <v>35</v>
      </c>
      <c r="F60" s="4">
        <v>42749</v>
      </c>
      <c r="G60" s="3">
        <v>825304400</v>
      </c>
      <c r="H60" s="4">
        <v>42758</v>
      </c>
      <c r="I60" s="3">
        <v>4767</v>
      </c>
      <c r="J60" s="3">
        <v>421.89</v>
      </c>
      <c r="K60" s="3">
        <v>364.69</v>
      </c>
      <c r="L60" s="3">
        <v>2011149.63</v>
      </c>
      <c r="M60" s="3">
        <v>1738477.23</v>
      </c>
      <c r="N60" s="3">
        <v>272672.40000000002</v>
      </c>
      <c r="O60" s="3">
        <f>N60/L60</f>
        <v>0.13558036455000119</v>
      </c>
    </row>
    <row r="61" spans="1:15" x14ac:dyDescent="0.35">
      <c r="A61" s="3" t="s">
        <v>24</v>
      </c>
      <c r="B61" s="8" t="s">
        <v>89</v>
      </c>
      <c r="C61" s="3" t="s">
        <v>16</v>
      </c>
      <c r="D61" s="3" t="s">
        <v>22</v>
      </c>
      <c r="E61" s="3" t="s">
        <v>27</v>
      </c>
      <c r="F61" s="4">
        <v>41451</v>
      </c>
      <c r="G61" s="3">
        <v>569662845</v>
      </c>
      <c r="H61" s="4">
        <v>41456</v>
      </c>
      <c r="I61" s="3">
        <v>4750</v>
      </c>
      <c r="J61" s="3">
        <v>255.28</v>
      </c>
      <c r="K61" s="3">
        <v>159.41999999999999</v>
      </c>
      <c r="L61" s="3">
        <v>1212580</v>
      </c>
      <c r="M61" s="3">
        <v>757245</v>
      </c>
      <c r="N61" s="3">
        <v>455335</v>
      </c>
      <c r="O61" s="3">
        <f>N61/L61</f>
        <v>0.37550924475086178</v>
      </c>
    </row>
    <row r="62" spans="1:15" x14ac:dyDescent="0.35">
      <c r="A62" s="3" t="s">
        <v>24</v>
      </c>
      <c r="B62" s="8" t="s">
        <v>110</v>
      </c>
      <c r="C62" s="3" t="s">
        <v>52</v>
      </c>
      <c r="D62" s="3" t="s">
        <v>17</v>
      </c>
      <c r="E62" s="3" t="s">
        <v>23</v>
      </c>
      <c r="F62" s="4">
        <v>42666</v>
      </c>
      <c r="G62" s="3">
        <v>345718562</v>
      </c>
      <c r="H62" s="4">
        <v>42699</v>
      </c>
      <c r="I62" s="3">
        <v>4660</v>
      </c>
      <c r="J62" s="3">
        <v>47.45</v>
      </c>
      <c r="K62" s="3">
        <v>31.79</v>
      </c>
      <c r="L62" s="3">
        <v>221117</v>
      </c>
      <c r="M62" s="3">
        <v>148141.4</v>
      </c>
      <c r="N62" s="3">
        <v>72975.600000000006</v>
      </c>
      <c r="O62" s="3">
        <f>N62/L62</f>
        <v>0.33003161222339306</v>
      </c>
    </row>
    <row r="63" spans="1:15" x14ac:dyDescent="0.35">
      <c r="A63" s="3" t="s">
        <v>24</v>
      </c>
      <c r="B63" s="8" t="s">
        <v>104</v>
      </c>
      <c r="C63" s="3" t="s">
        <v>34</v>
      </c>
      <c r="D63" s="3" t="s">
        <v>17</v>
      </c>
      <c r="E63" s="3" t="s">
        <v>27</v>
      </c>
      <c r="F63" s="4">
        <v>41203</v>
      </c>
      <c r="G63" s="3">
        <v>213487374</v>
      </c>
      <c r="H63" s="4">
        <v>41243</v>
      </c>
      <c r="I63" s="3">
        <v>4513</v>
      </c>
      <c r="J63" s="3">
        <v>668.27</v>
      </c>
      <c r="K63" s="3">
        <v>502.54</v>
      </c>
      <c r="L63" s="3">
        <v>3015902.51</v>
      </c>
      <c r="M63" s="3">
        <v>2267963.02</v>
      </c>
      <c r="N63" s="3">
        <v>747939.49</v>
      </c>
      <c r="O63" s="3">
        <f>N63/L63</f>
        <v>0.24799856345489099</v>
      </c>
    </row>
    <row r="64" spans="1:15" x14ac:dyDescent="0.35">
      <c r="A64" s="3" t="s">
        <v>28</v>
      </c>
      <c r="B64" s="8" t="s">
        <v>31</v>
      </c>
      <c r="C64" s="3" t="s">
        <v>50</v>
      </c>
      <c r="D64" s="3" t="s">
        <v>17</v>
      </c>
      <c r="E64" s="3" t="s">
        <v>18</v>
      </c>
      <c r="F64" s="4">
        <v>41558</v>
      </c>
      <c r="G64" s="3">
        <v>699358165</v>
      </c>
      <c r="H64" s="4">
        <v>41603</v>
      </c>
      <c r="I64" s="3">
        <v>4477</v>
      </c>
      <c r="J64" s="3">
        <v>437.2</v>
      </c>
      <c r="K64" s="3">
        <v>263.33</v>
      </c>
      <c r="L64" s="3">
        <v>1957344.4</v>
      </c>
      <c r="M64" s="3">
        <v>1178928.4099999999</v>
      </c>
      <c r="N64" s="3">
        <v>778415.99</v>
      </c>
      <c r="O64" s="3">
        <f>N64/L64</f>
        <v>0.39768984446477584</v>
      </c>
    </row>
    <row r="65" spans="1:15" x14ac:dyDescent="0.35">
      <c r="A65" s="3" t="s">
        <v>28</v>
      </c>
      <c r="B65" s="8" t="s">
        <v>33</v>
      </c>
      <c r="C65" s="3" t="s">
        <v>34</v>
      </c>
      <c r="D65" s="3" t="s">
        <v>17</v>
      </c>
      <c r="E65" s="3" t="s">
        <v>35</v>
      </c>
      <c r="F65" s="4">
        <v>40656</v>
      </c>
      <c r="G65" s="3">
        <v>135425221</v>
      </c>
      <c r="H65" s="4">
        <v>40660</v>
      </c>
      <c r="I65" s="3">
        <v>4187</v>
      </c>
      <c r="J65" s="3">
        <v>668.27</v>
      </c>
      <c r="K65" s="3">
        <v>502.54</v>
      </c>
      <c r="L65" s="3">
        <v>2798046.49</v>
      </c>
      <c r="M65" s="3">
        <v>2104134.98</v>
      </c>
      <c r="N65" s="3">
        <v>693911.51</v>
      </c>
      <c r="O65" s="3">
        <f>N65/L65</f>
        <v>0.24799856345489096</v>
      </c>
    </row>
    <row r="66" spans="1:15" x14ac:dyDescent="0.35">
      <c r="A66" s="3" t="s">
        <v>28</v>
      </c>
      <c r="B66" s="8" t="s">
        <v>43</v>
      </c>
      <c r="C66" s="3" t="s">
        <v>44</v>
      </c>
      <c r="D66" s="3" t="s">
        <v>17</v>
      </c>
      <c r="E66" s="3" t="s">
        <v>18</v>
      </c>
      <c r="F66" s="4">
        <v>41853</v>
      </c>
      <c r="G66" s="3">
        <v>939825713</v>
      </c>
      <c r="H66" s="4">
        <v>41870</v>
      </c>
      <c r="I66" s="3">
        <v>4168</v>
      </c>
      <c r="J66" s="3">
        <v>109.28</v>
      </c>
      <c r="K66" s="3">
        <v>35.840000000000003</v>
      </c>
      <c r="L66" s="3">
        <v>455479.03999999998</v>
      </c>
      <c r="M66" s="3">
        <v>149381.12</v>
      </c>
      <c r="N66" s="3">
        <v>306097.91999999998</v>
      </c>
      <c r="O66" s="3">
        <f>N66/L66</f>
        <v>0.67203513909224011</v>
      </c>
    </row>
    <row r="67" spans="1:15" x14ac:dyDescent="0.35">
      <c r="A67" s="3" t="s">
        <v>28</v>
      </c>
      <c r="B67" s="8" t="s">
        <v>107</v>
      </c>
      <c r="C67" s="3" t="s">
        <v>58</v>
      </c>
      <c r="D67" s="3" t="s">
        <v>22</v>
      </c>
      <c r="E67" s="3" t="s">
        <v>27</v>
      </c>
      <c r="F67" s="4">
        <v>40547</v>
      </c>
      <c r="G67" s="3">
        <v>122583663</v>
      </c>
      <c r="H67" s="4">
        <v>40548</v>
      </c>
      <c r="I67" s="3">
        <v>4085</v>
      </c>
      <c r="J67" s="3">
        <v>152.58000000000001</v>
      </c>
      <c r="K67" s="3">
        <v>97.44</v>
      </c>
      <c r="L67" s="3">
        <v>623289.30000000005</v>
      </c>
      <c r="M67" s="3">
        <v>398042.4</v>
      </c>
      <c r="N67" s="3">
        <v>225246.9</v>
      </c>
      <c r="O67" s="3">
        <f>N67/L67</f>
        <v>0.36138419189933146</v>
      </c>
    </row>
    <row r="68" spans="1:15" x14ac:dyDescent="0.35">
      <c r="A68" s="3" t="s">
        <v>71</v>
      </c>
      <c r="B68" s="8" t="s">
        <v>83</v>
      </c>
      <c r="C68" s="3" t="s">
        <v>21</v>
      </c>
      <c r="D68" s="3" t="s">
        <v>22</v>
      </c>
      <c r="E68" s="3" t="s">
        <v>35</v>
      </c>
      <c r="F68" s="4">
        <v>41358</v>
      </c>
      <c r="G68" s="3">
        <v>844530045</v>
      </c>
      <c r="H68" s="4">
        <v>41361</v>
      </c>
      <c r="I68" s="3">
        <v>4063</v>
      </c>
      <c r="J68" s="3">
        <v>205.7</v>
      </c>
      <c r="K68" s="3">
        <v>117.11</v>
      </c>
      <c r="L68" s="3">
        <v>835759.1</v>
      </c>
      <c r="M68" s="3">
        <v>475817.93</v>
      </c>
      <c r="N68" s="3">
        <v>359941.17</v>
      </c>
      <c r="O68" s="3">
        <f>N68/L68</f>
        <v>0.43067574137092851</v>
      </c>
    </row>
    <row r="69" spans="1:15" x14ac:dyDescent="0.35">
      <c r="A69" s="3" t="s">
        <v>24</v>
      </c>
      <c r="B69" s="8" t="s">
        <v>48</v>
      </c>
      <c r="C69" s="3" t="s">
        <v>26</v>
      </c>
      <c r="D69" s="3" t="s">
        <v>22</v>
      </c>
      <c r="E69" s="3" t="s">
        <v>35</v>
      </c>
      <c r="F69" s="4">
        <v>40955</v>
      </c>
      <c r="G69" s="3">
        <v>189965903</v>
      </c>
      <c r="H69" s="4">
        <v>40967</v>
      </c>
      <c r="I69" s="3">
        <v>3987</v>
      </c>
      <c r="J69" s="3">
        <v>651.21</v>
      </c>
      <c r="K69" s="3">
        <v>524.96</v>
      </c>
      <c r="L69" s="3">
        <v>2596374.27</v>
      </c>
      <c r="M69" s="3">
        <v>2093015.52</v>
      </c>
      <c r="N69" s="3">
        <v>503358.75</v>
      </c>
      <c r="O69" s="3">
        <f>N69/L69</f>
        <v>0.19386987300563566</v>
      </c>
    </row>
    <row r="70" spans="1:15" x14ac:dyDescent="0.35">
      <c r="A70" s="3" t="s">
        <v>41</v>
      </c>
      <c r="B70" s="8" t="s">
        <v>53</v>
      </c>
      <c r="C70" s="3" t="s">
        <v>34</v>
      </c>
      <c r="D70" s="3" t="s">
        <v>17</v>
      </c>
      <c r="E70" s="3" t="s">
        <v>27</v>
      </c>
      <c r="F70" s="4">
        <v>40542</v>
      </c>
      <c r="G70" s="3">
        <v>441619336</v>
      </c>
      <c r="H70" s="4">
        <v>40563</v>
      </c>
      <c r="I70" s="3">
        <v>3830</v>
      </c>
      <c r="J70" s="3">
        <v>668.27</v>
      </c>
      <c r="K70" s="3">
        <v>502.54</v>
      </c>
      <c r="L70" s="3">
        <v>2559474.1</v>
      </c>
      <c r="M70" s="3">
        <v>1924728.2</v>
      </c>
      <c r="N70" s="3">
        <v>634745.9</v>
      </c>
      <c r="O70" s="3">
        <f>N70/L70</f>
        <v>0.24799856345489099</v>
      </c>
    </row>
    <row r="71" spans="1:15" x14ac:dyDescent="0.35">
      <c r="A71" s="3" t="s">
        <v>71</v>
      </c>
      <c r="B71" s="8" t="s">
        <v>72</v>
      </c>
      <c r="C71" s="3" t="s">
        <v>30</v>
      </c>
      <c r="D71" s="3" t="s">
        <v>22</v>
      </c>
      <c r="E71" s="3" t="s">
        <v>27</v>
      </c>
      <c r="F71" s="4">
        <v>40869</v>
      </c>
      <c r="G71" s="3">
        <v>162052476</v>
      </c>
      <c r="H71" s="4">
        <v>40880</v>
      </c>
      <c r="I71" s="3">
        <v>3784</v>
      </c>
      <c r="J71" s="3">
        <v>9.33</v>
      </c>
      <c r="K71" s="3">
        <v>6.92</v>
      </c>
      <c r="L71" s="3">
        <v>35304.720000000001</v>
      </c>
      <c r="M71" s="3">
        <v>26185.279999999999</v>
      </c>
      <c r="N71" s="3">
        <v>9119.44</v>
      </c>
      <c r="O71" s="3">
        <f>N71/L71</f>
        <v>0.25830653804930331</v>
      </c>
    </row>
    <row r="72" spans="1:15" x14ac:dyDescent="0.35">
      <c r="A72" s="3" t="s">
        <v>41</v>
      </c>
      <c r="B72" s="8" t="s">
        <v>101</v>
      </c>
      <c r="C72" s="3" t="s">
        <v>37</v>
      </c>
      <c r="D72" s="3" t="s">
        <v>17</v>
      </c>
      <c r="E72" s="3" t="s">
        <v>23</v>
      </c>
      <c r="F72" s="4">
        <v>40801</v>
      </c>
      <c r="G72" s="3">
        <v>789176547</v>
      </c>
      <c r="H72" s="4">
        <v>40839</v>
      </c>
      <c r="I72" s="3">
        <v>3732</v>
      </c>
      <c r="J72" s="3">
        <v>154.06</v>
      </c>
      <c r="K72" s="3">
        <v>90.93</v>
      </c>
      <c r="L72" s="3">
        <v>574951.92000000004</v>
      </c>
      <c r="M72" s="3">
        <v>339350.76</v>
      </c>
      <c r="N72" s="3">
        <v>235601.16</v>
      </c>
      <c r="O72" s="3">
        <f>N72/L72</f>
        <v>0.40977541217707386</v>
      </c>
    </row>
    <row r="73" spans="1:15" x14ac:dyDescent="0.35">
      <c r="A73" s="3" t="s">
        <v>28</v>
      </c>
      <c r="B73" s="8" t="s">
        <v>85</v>
      </c>
      <c r="C73" s="3" t="s">
        <v>44</v>
      </c>
      <c r="D73" s="3" t="s">
        <v>22</v>
      </c>
      <c r="E73" s="3" t="s">
        <v>23</v>
      </c>
      <c r="F73" s="4">
        <v>41068</v>
      </c>
      <c r="G73" s="3">
        <v>114606559</v>
      </c>
      <c r="H73" s="4">
        <v>41087</v>
      </c>
      <c r="I73" s="3">
        <v>3482</v>
      </c>
      <c r="J73" s="3">
        <v>109.28</v>
      </c>
      <c r="K73" s="3">
        <v>35.840000000000003</v>
      </c>
      <c r="L73" s="3">
        <v>380512.96</v>
      </c>
      <c r="M73" s="3">
        <v>124794.88</v>
      </c>
      <c r="N73" s="3">
        <v>255718.08</v>
      </c>
      <c r="O73" s="3">
        <f>N73/L73</f>
        <v>0.67203513909224</v>
      </c>
    </row>
    <row r="74" spans="1:15" x14ac:dyDescent="0.35">
      <c r="A74" s="3" t="s">
        <v>28</v>
      </c>
      <c r="B74" s="8" t="s">
        <v>84</v>
      </c>
      <c r="C74" s="3" t="s">
        <v>26</v>
      </c>
      <c r="D74" s="3" t="s">
        <v>17</v>
      </c>
      <c r="E74" s="3" t="s">
        <v>35</v>
      </c>
      <c r="F74" s="4">
        <v>40873</v>
      </c>
      <c r="G74" s="3">
        <v>441888415</v>
      </c>
      <c r="H74" s="4">
        <v>40915</v>
      </c>
      <c r="I74" s="3">
        <v>3457</v>
      </c>
      <c r="J74" s="3">
        <v>651.21</v>
      </c>
      <c r="K74" s="3">
        <v>524.96</v>
      </c>
      <c r="L74" s="3">
        <v>2251232.9700000002</v>
      </c>
      <c r="M74" s="3">
        <v>1814786.72</v>
      </c>
      <c r="N74" s="3">
        <v>436446.25</v>
      </c>
      <c r="O74" s="3">
        <f>N74/L74</f>
        <v>0.19386987300563566</v>
      </c>
    </row>
    <row r="75" spans="1:15" x14ac:dyDescent="0.35">
      <c r="A75" s="3" t="s">
        <v>28</v>
      </c>
      <c r="B75" s="8" t="s">
        <v>74</v>
      </c>
      <c r="C75" s="3" t="s">
        <v>39</v>
      </c>
      <c r="D75" s="3" t="s">
        <v>22</v>
      </c>
      <c r="E75" s="3" t="s">
        <v>18</v>
      </c>
      <c r="F75" s="4">
        <v>42805</v>
      </c>
      <c r="G75" s="3">
        <v>699285638</v>
      </c>
      <c r="H75" s="4">
        <v>42822</v>
      </c>
      <c r="I75" s="3">
        <v>3015</v>
      </c>
      <c r="J75" s="3">
        <v>81.73</v>
      </c>
      <c r="K75" s="3">
        <v>56.67</v>
      </c>
      <c r="L75" s="3">
        <v>246415.95</v>
      </c>
      <c r="M75" s="3">
        <v>170860.05</v>
      </c>
      <c r="N75" s="3">
        <v>75555.899999999994</v>
      </c>
      <c r="O75" s="3">
        <f>N75/L75</f>
        <v>0.30661935641747212</v>
      </c>
    </row>
    <row r="76" spans="1:15" x14ac:dyDescent="0.35">
      <c r="A76" s="3" t="s">
        <v>14</v>
      </c>
      <c r="B76" s="8" t="s">
        <v>32</v>
      </c>
      <c r="C76" s="3" t="s">
        <v>16</v>
      </c>
      <c r="D76" s="3" t="s">
        <v>22</v>
      </c>
      <c r="E76" s="3" t="s">
        <v>23</v>
      </c>
      <c r="F76" s="4">
        <v>42039</v>
      </c>
      <c r="G76" s="3">
        <v>547995746</v>
      </c>
      <c r="H76" s="4">
        <v>42056</v>
      </c>
      <c r="I76" s="3">
        <v>2974</v>
      </c>
      <c r="J76" s="3">
        <v>255.28</v>
      </c>
      <c r="K76" s="3">
        <v>159.41999999999999</v>
      </c>
      <c r="L76" s="3">
        <v>759202.72</v>
      </c>
      <c r="M76" s="3">
        <v>474115.08</v>
      </c>
      <c r="N76" s="3">
        <v>285087.64</v>
      </c>
      <c r="O76" s="3">
        <f>N76/L76</f>
        <v>0.37550924475086184</v>
      </c>
    </row>
    <row r="77" spans="1:15" x14ac:dyDescent="0.35">
      <c r="A77" s="3" t="s">
        <v>14</v>
      </c>
      <c r="B77" s="8" t="s">
        <v>67</v>
      </c>
      <c r="C77" s="3" t="s">
        <v>26</v>
      </c>
      <c r="D77" s="3" t="s">
        <v>22</v>
      </c>
      <c r="E77" s="3" t="s">
        <v>23</v>
      </c>
      <c r="F77" s="4">
        <v>42304</v>
      </c>
      <c r="G77" s="3">
        <v>158535134</v>
      </c>
      <c r="H77" s="4">
        <v>42333</v>
      </c>
      <c r="I77" s="3">
        <v>2924</v>
      </c>
      <c r="J77" s="3">
        <v>651.21</v>
      </c>
      <c r="K77" s="3">
        <v>524.96</v>
      </c>
      <c r="L77" s="3">
        <v>1904138.04</v>
      </c>
      <c r="M77" s="3">
        <v>1534983.04</v>
      </c>
      <c r="N77" s="3">
        <v>369155</v>
      </c>
      <c r="O77" s="3">
        <f>N77/L77</f>
        <v>0.19386987300563566</v>
      </c>
    </row>
    <row r="78" spans="1:15" x14ac:dyDescent="0.35">
      <c r="A78" s="3" t="s">
        <v>24</v>
      </c>
      <c r="B78" s="8" t="s">
        <v>87</v>
      </c>
      <c r="C78" s="3" t="s">
        <v>50</v>
      </c>
      <c r="D78" s="3" t="s">
        <v>17</v>
      </c>
      <c r="E78" s="3" t="s">
        <v>18</v>
      </c>
      <c r="F78" s="4">
        <v>42058</v>
      </c>
      <c r="G78" s="3">
        <v>868214595</v>
      </c>
      <c r="H78" s="4">
        <v>42065</v>
      </c>
      <c r="I78" s="3">
        <v>2847</v>
      </c>
      <c r="J78" s="3">
        <v>437.2</v>
      </c>
      <c r="K78" s="3">
        <v>263.33</v>
      </c>
      <c r="L78" s="3">
        <v>1244708.3999999999</v>
      </c>
      <c r="M78" s="3">
        <v>749700.51</v>
      </c>
      <c r="N78" s="3">
        <v>495007.89</v>
      </c>
      <c r="O78" s="3">
        <f>N78/L78</f>
        <v>0.3976898444647759</v>
      </c>
    </row>
    <row r="79" spans="1:15" x14ac:dyDescent="0.35">
      <c r="A79" s="3" t="s">
        <v>19</v>
      </c>
      <c r="B79" s="8" t="s">
        <v>20</v>
      </c>
      <c r="C79" s="3" t="s">
        <v>21</v>
      </c>
      <c r="D79" s="3" t="s">
        <v>22</v>
      </c>
      <c r="E79" s="3" t="s">
        <v>23</v>
      </c>
      <c r="F79" s="4">
        <v>41143</v>
      </c>
      <c r="G79" s="3">
        <v>963881480</v>
      </c>
      <c r="H79" s="4">
        <v>41167</v>
      </c>
      <c r="I79" s="3">
        <v>2804</v>
      </c>
      <c r="J79" s="3">
        <v>205.7</v>
      </c>
      <c r="K79" s="3">
        <v>117.11</v>
      </c>
      <c r="L79" s="3">
        <v>576782.80000000005</v>
      </c>
      <c r="M79" s="3">
        <v>328376.44</v>
      </c>
      <c r="N79" s="3">
        <v>248406.36</v>
      </c>
      <c r="O79" s="3">
        <f>N79/L79</f>
        <v>0.43067574137092846</v>
      </c>
    </row>
    <row r="80" spans="1:15" x14ac:dyDescent="0.35">
      <c r="A80" s="3" t="s">
        <v>28</v>
      </c>
      <c r="B80" s="8" t="s">
        <v>64</v>
      </c>
      <c r="C80" s="3" t="s">
        <v>34</v>
      </c>
      <c r="D80" s="3" t="s">
        <v>17</v>
      </c>
      <c r="E80" s="3" t="s">
        <v>27</v>
      </c>
      <c r="F80" s="4">
        <v>41055</v>
      </c>
      <c r="G80" s="3">
        <v>886494815</v>
      </c>
      <c r="H80" s="4">
        <v>41069</v>
      </c>
      <c r="I80" s="3">
        <v>2370</v>
      </c>
      <c r="J80" s="3">
        <v>668.27</v>
      </c>
      <c r="K80" s="3">
        <v>502.54</v>
      </c>
      <c r="L80" s="3">
        <v>1583799.9</v>
      </c>
      <c r="M80" s="3">
        <v>1191019.8</v>
      </c>
      <c r="N80" s="3">
        <v>392780.1</v>
      </c>
      <c r="O80" s="3">
        <f>N80/L80</f>
        <v>0.24799856345489099</v>
      </c>
    </row>
    <row r="81" spans="1:15" x14ac:dyDescent="0.35">
      <c r="A81" s="3" t="s">
        <v>24</v>
      </c>
      <c r="B81" s="8" t="s">
        <v>81</v>
      </c>
      <c r="C81" s="3" t="s">
        <v>44</v>
      </c>
      <c r="D81" s="3" t="s">
        <v>22</v>
      </c>
      <c r="E81" s="3" t="s">
        <v>23</v>
      </c>
      <c r="F81" s="4">
        <v>40211</v>
      </c>
      <c r="G81" s="3">
        <v>385383069</v>
      </c>
      <c r="H81" s="4">
        <v>40255</v>
      </c>
      <c r="I81" s="3">
        <v>2269</v>
      </c>
      <c r="J81" s="3">
        <v>109.28</v>
      </c>
      <c r="K81" s="3">
        <v>35.840000000000003</v>
      </c>
      <c r="L81" s="3">
        <v>247956.32</v>
      </c>
      <c r="M81" s="3">
        <v>81320.960000000006</v>
      </c>
      <c r="N81" s="3">
        <v>166635.35999999999</v>
      </c>
      <c r="O81" s="3">
        <f>N81/L81</f>
        <v>0.67203513909224</v>
      </c>
    </row>
    <row r="82" spans="1:15" x14ac:dyDescent="0.35">
      <c r="A82" s="3" t="s">
        <v>19</v>
      </c>
      <c r="B82" s="8" t="s">
        <v>46</v>
      </c>
      <c r="C82" s="3" t="s">
        <v>58</v>
      </c>
      <c r="D82" s="3" t="s">
        <v>22</v>
      </c>
      <c r="E82" s="3" t="s">
        <v>27</v>
      </c>
      <c r="F82" s="4">
        <v>42551</v>
      </c>
      <c r="G82" s="3">
        <v>795490682</v>
      </c>
      <c r="H82" s="4">
        <v>42577</v>
      </c>
      <c r="I82" s="3">
        <v>2225</v>
      </c>
      <c r="J82" s="3">
        <v>152.58000000000001</v>
      </c>
      <c r="K82" s="3">
        <v>97.44</v>
      </c>
      <c r="L82" s="3">
        <v>339490.5</v>
      </c>
      <c r="M82" s="3">
        <v>216804</v>
      </c>
      <c r="N82" s="3">
        <v>122686.5</v>
      </c>
      <c r="O82" s="3">
        <f>N82/L82</f>
        <v>0.36138419189933152</v>
      </c>
    </row>
    <row r="83" spans="1:15" x14ac:dyDescent="0.35">
      <c r="A83" s="3" t="s">
        <v>14</v>
      </c>
      <c r="B83" s="8" t="s">
        <v>59</v>
      </c>
      <c r="C83" s="3" t="s">
        <v>30</v>
      </c>
      <c r="D83" s="3" t="s">
        <v>22</v>
      </c>
      <c r="E83" s="3" t="s">
        <v>18</v>
      </c>
      <c r="F83" s="4">
        <v>41890</v>
      </c>
      <c r="G83" s="3">
        <v>142278373</v>
      </c>
      <c r="H83" s="4">
        <v>41916</v>
      </c>
      <c r="I83" s="3">
        <v>2187</v>
      </c>
      <c r="J83" s="3">
        <v>9.33</v>
      </c>
      <c r="K83" s="3">
        <v>6.92</v>
      </c>
      <c r="L83" s="3">
        <v>20404.71</v>
      </c>
      <c r="M83" s="3">
        <v>15134.04</v>
      </c>
      <c r="N83" s="3">
        <v>5270.67</v>
      </c>
      <c r="O83" s="3">
        <f>N83/L83</f>
        <v>0.25830653804930331</v>
      </c>
    </row>
    <row r="84" spans="1:15" x14ac:dyDescent="0.35">
      <c r="A84" s="3" t="s">
        <v>28</v>
      </c>
      <c r="B84" s="8" t="s">
        <v>66</v>
      </c>
      <c r="C84" s="3" t="s">
        <v>39</v>
      </c>
      <c r="D84" s="3" t="s">
        <v>17</v>
      </c>
      <c r="E84" s="3" t="s">
        <v>23</v>
      </c>
      <c r="F84" s="4">
        <v>41637</v>
      </c>
      <c r="G84" s="3">
        <v>406502997</v>
      </c>
      <c r="H84" s="4">
        <v>41667</v>
      </c>
      <c r="I84" s="3">
        <v>2125</v>
      </c>
      <c r="J84" s="3">
        <v>81.73</v>
      </c>
      <c r="K84" s="3">
        <v>56.67</v>
      </c>
      <c r="L84" s="3">
        <v>173676.25</v>
      </c>
      <c r="M84" s="3">
        <v>120423.75</v>
      </c>
      <c r="N84" s="3">
        <v>53252.5</v>
      </c>
      <c r="O84" s="3">
        <f>N84/L84</f>
        <v>0.30661935641747218</v>
      </c>
    </row>
    <row r="85" spans="1:15" x14ac:dyDescent="0.35">
      <c r="A85" s="3" t="s">
        <v>28</v>
      </c>
      <c r="B85" s="8" t="s">
        <v>64</v>
      </c>
      <c r="C85" s="3" t="s">
        <v>21</v>
      </c>
      <c r="D85" s="3" t="s">
        <v>17</v>
      </c>
      <c r="E85" s="3" t="s">
        <v>18</v>
      </c>
      <c r="F85" s="4">
        <v>41067</v>
      </c>
      <c r="G85" s="3">
        <v>994022214</v>
      </c>
      <c r="H85" s="4">
        <v>41068</v>
      </c>
      <c r="I85" s="3">
        <v>2117</v>
      </c>
      <c r="J85" s="3">
        <v>205.7</v>
      </c>
      <c r="K85" s="3">
        <v>117.11</v>
      </c>
      <c r="L85" s="3">
        <v>435466.9</v>
      </c>
      <c r="M85" s="3">
        <v>247921.87</v>
      </c>
      <c r="N85" s="3">
        <v>187545.03</v>
      </c>
      <c r="O85" s="3">
        <f>N85/L85</f>
        <v>0.43067574137092851</v>
      </c>
    </row>
    <row r="86" spans="1:15" x14ac:dyDescent="0.35">
      <c r="A86" s="3" t="s">
        <v>71</v>
      </c>
      <c r="B86" s="8" t="s">
        <v>75</v>
      </c>
      <c r="C86" s="3" t="s">
        <v>26</v>
      </c>
      <c r="D86" s="3" t="s">
        <v>22</v>
      </c>
      <c r="E86" s="3" t="s">
        <v>35</v>
      </c>
      <c r="F86" s="4">
        <v>41073</v>
      </c>
      <c r="G86" s="3">
        <v>423331391</v>
      </c>
      <c r="H86" s="4">
        <v>41114</v>
      </c>
      <c r="I86" s="3">
        <v>2021</v>
      </c>
      <c r="J86" s="3">
        <v>651.21</v>
      </c>
      <c r="K86" s="3">
        <v>524.96</v>
      </c>
      <c r="L86" s="3">
        <v>1316095.4099999999</v>
      </c>
      <c r="M86" s="3">
        <v>1060944.1599999999</v>
      </c>
      <c r="N86" s="3">
        <v>255151.25</v>
      </c>
      <c r="O86" s="3">
        <f>N86/L86</f>
        <v>0.19386987300563568</v>
      </c>
    </row>
    <row r="87" spans="1:15" x14ac:dyDescent="0.35">
      <c r="A87" s="3" t="s">
        <v>24</v>
      </c>
      <c r="B87" s="8" t="s">
        <v>61</v>
      </c>
      <c r="C87" s="3" t="s">
        <v>50</v>
      </c>
      <c r="D87" s="3" t="s">
        <v>22</v>
      </c>
      <c r="E87" s="3" t="s">
        <v>18</v>
      </c>
      <c r="F87" s="4">
        <v>42877</v>
      </c>
      <c r="G87" s="3">
        <v>898523128</v>
      </c>
      <c r="H87" s="4">
        <v>42891</v>
      </c>
      <c r="I87" s="3">
        <v>1815</v>
      </c>
      <c r="J87" s="3">
        <v>437.2</v>
      </c>
      <c r="K87" s="3">
        <v>263.33</v>
      </c>
      <c r="L87" s="3">
        <v>793518</v>
      </c>
      <c r="M87" s="3">
        <v>477943.95</v>
      </c>
      <c r="N87" s="3">
        <v>315574.05</v>
      </c>
      <c r="O87" s="3">
        <f>N87/L87</f>
        <v>0.39768984446477584</v>
      </c>
    </row>
    <row r="88" spans="1:15" x14ac:dyDescent="0.35">
      <c r="A88" s="3" t="s">
        <v>24</v>
      </c>
      <c r="B88" s="8" t="s">
        <v>25</v>
      </c>
      <c r="C88" s="3" t="s">
        <v>26</v>
      </c>
      <c r="D88" s="3" t="s">
        <v>17</v>
      </c>
      <c r="E88" s="3" t="s">
        <v>27</v>
      </c>
      <c r="F88" s="4">
        <v>41761</v>
      </c>
      <c r="G88" s="3">
        <v>341417157</v>
      </c>
      <c r="H88" s="4">
        <v>41767</v>
      </c>
      <c r="I88" s="3">
        <v>1779</v>
      </c>
      <c r="J88" s="3">
        <v>651.21</v>
      </c>
      <c r="K88" s="3">
        <v>524.96</v>
      </c>
      <c r="L88" s="3">
        <v>1158502.5900000001</v>
      </c>
      <c r="M88" s="3">
        <v>933903.84</v>
      </c>
      <c r="N88" s="3">
        <v>224598.75</v>
      </c>
      <c r="O88" s="3">
        <f>N88/L88</f>
        <v>0.19386987300563566</v>
      </c>
    </row>
    <row r="89" spans="1:15" x14ac:dyDescent="0.35">
      <c r="A89" s="3" t="s">
        <v>19</v>
      </c>
      <c r="B89" s="8" t="s">
        <v>91</v>
      </c>
      <c r="C89" s="3" t="s">
        <v>50</v>
      </c>
      <c r="D89" s="3" t="s">
        <v>17</v>
      </c>
      <c r="E89" s="3" t="s">
        <v>18</v>
      </c>
      <c r="F89" s="4">
        <v>41560</v>
      </c>
      <c r="G89" s="3">
        <v>505716836</v>
      </c>
      <c r="H89" s="4">
        <v>41594</v>
      </c>
      <c r="I89" s="3">
        <v>1705</v>
      </c>
      <c r="J89" s="3">
        <v>437.2</v>
      </c>
      <c r="K89" s="3">
        <v>263.33</v>
      </c>
      <c r="L89" s="3">
        <v>745426</v>
      </c>
      <c r="M89" s="3">
        <v>448977.65</v>
      </c>
      <c r="N89" s="3">
        <v>296448.34999999998</v>
      </c>
      <c r="O89" s="3">
        <f>N89/L89</f>
        <v>0.39768984446477579</v>
      </c>
    </row>
    <row r="90" spans="1:15" x14ac:dyDescent="0.35">
      <c r="A90" s="3" t="s">
        <v>24</v>
      </c>
      <c r="B90" s="8" t="s">
        <v>48</v>
      </c>
      <c r="C90" s="3" t="s">
        <v>44</v>
      </c>
      <c r="D90" s="3" t="s">
        <v>22</v>
      </c>
      <c r="E90" s="3" t="s">
        <v>35</v>
      </c>
      <c r="F90" s="4">
        <v>41022</v>
      </c>
      <c r="G90" s="3">
        <v>972292029</v>
      </c>
      <c r="H90" s="4">
        <v>41063</v>
      </c>
      <c r="I90" s="3">
        <v>1673</v>
      </c>
      <c r="J90" s="3">
        <v>109.28</v>
      </c>
      <c r="K90" s="3">
        <v>35.840000000000003</v>
      </c>
      <c r="L90" s="3">
        <v>182825.44</v>
      </c>
      <c r="M90" s="3">
        <v>59960.32</v>
      </c>
      <c r="N90" s="3">
        <v>122865.12</v>
      </c>
      <c r="O90" s="3">
        <f>N90/L90</f>
        <v>0.67203513909224011</v>
      </c>
    </row>
    <row r="91" spans="1:15" x14ac:dyDescent="0.35">
      <c r="A91" s="3" t="s">
        <v>28</v>
      </c>
      <c r="B91" s="8" t="s">
        <v>84</v>
      </c>
      <c r="C91" s="3" t="s">
        <v>37</v>
      </c>
      <c r="D91" s="3" t="s">
        <v>17</v>
      </c>
      <c r="E91" s="3" t="s">
        <v>23</v>
      </c>
      <c r="F91" s="4">
        <v>42522</v>
      </c>
      <c r="G91" s="3">
        <v>728815257</v>
      </c>
      <c r="H91" s="4">
        <v>42550</v>
      </c>
      <c r="I91" s="3">
        <v>1485</v>
      </c>
      <c r="J91" s="3">
        <v>154.06</v>
      </c>
      <c r="K91" s="3">
        <v>90.93</v>
      </c>
      <c r="L91" s="3">
        <v>228779.1</v>
      </c>
      <c r="M91" s="3">
        <v>135031.04999999999</v>
      </c>
      <c r="N91" s="3">
        <v>93748.05</v>
      </c>
      <c r="O91" s="3">
        <f>N91/L91</f>
        <v>0.40977541217707386</v>
      </c>
    </row>
    <row r="92" spans="1:15" x14ac:dyDescent="0.35">
      <c r="A92" s="3" t="s">
        <v>24</v>
      </c>
      <c r="B92" s="8" t="s">
        <v>57</v>
      </c>
      <c r="C92" s="3" t="s">
        <v>16</v>
      </c>
      <c r="D92" s="3" t="s">
        <v>22</v>
      </c>
      <c r="E92" s="3" t="s">
        <v>18</v>
      </c>
      <c r="F92" s="4">
        <v>42216</v>
      </c>
      <c r="G92" s="3">
        <v>860673511</v>
      </c>
      <c r="H92" s="4">
        <v>42250</v>
      </c>
      <c r="I92" s="3">
        <v>1273</v>
      </c>
      <c r="J92" s="3">
        <v>255.28</v>
      </c>
      <c r="K92" s="3">
        <v>159.41999999999999</v>
      </c>
      <c r="L92" s="3">
        <v>324971.44</v>
      </c>
      <c r="M92" s="3">
        <v>202941.66</v>
      </c>
      <c r="N92" s="3">
        <v>122029.78</v>
      </c>
      <c r="O92" s="3">
        <f>N92/L92</f>
        <v>0.37550924475086178</v>
      </c>
    </row>
    <row r="93" spans="1:15" x14ac:dyDescent="0.35">
      <c r="A93" s="3" t="s">
        <v>28</v>
      </c>
      <c r="B93" s="8" t="s">
        <v>80</v>
      </c>
      <c r="C93" s="3" t="s">
        <v>26</v>
      </c>
      <c r="D93" s="3" t="s">
        <v>17</v>
      </c>
      <c r="E93" s="3" t="s">
        <v>23</v>
      </c>
      <c r="F93" s="4">
        <v>40919</v>
      </c>
      <c r="G93" s="3">
        <v>837559306</v>
      </c>
      <c r="H93" s="4">
        <v>40921</v>
      </c>
      <c r="I93" s="3">
        <v>1266</v>
      </c>
      <c r="J93" s="3">
        <v>651.21</v>
      </c>
      <c r="K93" s="3">
        <v>524.96</v>
      </c>
      <c r="L93" s="3">
        <v>824431.86</v>
      </c>
      <c r="M93" s="3">
        <v>664599.36</v>
      </c>
      <c r="N93" s="3">
        <v>159832.5</v>
      </c>
      <c r="O93" s="3">
        <f>N93/L93</f>
        <v>0.19386987300563566</v>
      </c>
    </row>
    <row r="94" spans="1:15" x14ac:dyDescent="0.35">
      <c r="A94" s="3" t="s">
        <v>28</v>
      </c>
      <c r="B94" s="8" t="s">
        <v>77</v>
      </c>
      <c r="C94" s="3" t="s">
        <v>21</v>
      </c>
      <c r="D94" s="3" t="s">
        <v>17</v>
      </c>
      <c r="E94" s="3" t="s">
        <v>18</v>
      </c>
      <c r="F94" s="4">
        <v>42458</v>
      </c>
      <c r="G94" s="3">
        <v>902102267</v>
      </c>
      <c r="H94" s="4">
        <v>42489</v>
      </c>
      <c r="I94" s="3">
        <v>962</v>
      </c>
      <c r="J94" s="3">
        <v>205.7</v>
      </c>
      <c r="K94" s="3">
        <v>117.11</v>
      </c>
      <c r="L94" s="3">
        <v>197883.4</v>
      </c>
      <c r="M94" s="3">
        <v>112659.82</v>
      </c>
      <c r="N94" s="3">
        <v>85223.58</v>
      </c>
      <c r="O94" s="3">
        <f>N94/L94</f>
        <v>0.43067574137092857</v>
      </c>
    </row>
    <row r="95" spans="1:15" x14ac:dyDescent="0.35">
      <c r="A95" s="3" t="s">
        <v>28</v>
      </c>
      <c r="B95" s="8" t="s">
        <v>84</v>
      </c>
      <c r="C95" s="3" t="s">
        <v>26</v>
      </c>
      <c r="D95" s="3" t="s">
        <v>17</v>
      </c>
      <c r="E95" s="3" t="s">
        <v>18</v>
      </c>
      <c r="F95" s="4">
        <v>42710</v>
      </c>
      <c r="G95" s="3">
        <v>621386563</v>
      </c>
      <c r="H95" s="4">
        <v>42718</v>
      </c>
      <c r="I95" s="3">
        <v>948</v>
      </c>
      <c r="J95" s="3">
        <v>651.21</v>
      </c>
      <c r="K95" s="3">
        <v>524.96</v>
      </c>
      <c r="L95" s="3">
        <v>617347.07999999996</v>
      </c>
      <c r="M95" s="3">
        <v>497662.08</v>
      </c>
      <c r="N95" s="3">
        <v>119685</v>
      </c>
      <c r="O95" s="3">
        <f>N95/L95</f>
        <v>0.19386987300563568</v>
      </c>
    </row>
    <row r="96" spans="1:15" x14ac:dyDescent="0.35">
      <c r="A96" s="3" t="s">
        <v>28</v>
      </c>
      <c r="B96" s="8" t="s">
        <v>63</v>
      </c>
      <c r="C96" s="3" t="s">
        <v>44</v>
      </c>
      <c r="D96" s="3" t="s">
        <v>22</v>
      </c>
      <c r="E96" s="3" t="s">
        <v>35</v>
      </c>
      <c r="F96" s="4">
        <v>40750</v>
      </c>
      <c r="G96" s="3">
        <v>512878119</v>
      </c>
      <c r="H96" s="4">
        <v>40789</v>
      </c>
      <c r="I96" s="3">
        <v>888</v>
      </c>
      <c r="J96" s="3">
        <v>109.28</v>
      </c>
      <c r="K96" s="3">
        <v>35.840000000000003</v>
      </c>
      <c r="L96" s="3">
        <v>97040.639999999999</v>
      </c>
      <c r="M96" s="3">
        <v>31825.919999999998</v>
      </c>
      <c r="N96" s="3">
        <v>65214.720000000001</v>
      </c>
      <c r="O96" s="3">
        <f>N96/L96</f>
        <v>0.67203513909224011</v>
      </c>
    </row>
    <row r="97" spans="1:15" x14ac:dyDescent="0.35">
      <c r="A97" s="3" t="s">
        <v>14</v>
      </c>
      <c r="B97" s="8" t="s">
        <v>67</v>
      </c>
      <c r="C97" s="3" t="s">
        <v>21</v>
      </c>
      <c r="D97" s="3" t="s">
        <v>17</v>
      </c>
      <c r="E97" s="3" t="s">
        <v>18</v>
      </c>
      <c r="F97" s="4">
        <v>41434</v>
      </c>
      <c r="G97" s="3">
        <v>450563752</v>
      </c>
      <c r="H97" s="4">
        <v>41457</v>
      </c>
      <c r="I97" s="3">
        <v>682</v>
      </c>
      <c r="J97" s="3">
        <v>205.7</v>
      </c>
      <c r="K97" s="3">
        <v>117.11</v>
      </c>
      <c r="L97" s="3">
        <v>140287.4</v>
      </c>
      <c r="M97" s="3">
        <v>79869.02</v>
      </c>
      <c r="N97" s="3">
        <v>60418.38</v>
      </c>
      <c r="O97" s="3">
        <f>N97/L97</f>
        <v>0.43067574137092851</v>
      </c>
    </row>
    <row r="98" spans="1:15" x14ac:dyDescent="0.35">
      <c r="A98" s="3" t="s">
        <v>71</v>
      </c>
      <c r="B98" s="8" t="s">
        <v>90</v>
      </c>
      <c r="C98" s="3" t="s">
        <v>30</v>
      </c>
      <c r="D98" s="3" t="s">
        <v>22</v>
      </c>
      <c r="E98" s="3" t="s">
        <v>27</v>
      </c>
      <c r="F98" s="4">
        <v>42230</v>
      </c>
      <c r="G98" s="3">
        <v>816200339</v>
      </c>
      <c r="H98" s="4">
        <v>42277</v>
      </c>
      <c r="I98" s="3">
        <v>673</v>
      </c>
      <c r="J98" s="3">
        <v>9.33</v>
      </c>
      <c r="K98" s="3">
        <v>6.92</v>
      </c>
      <c r="L98" s="3">
        <v>6279.09</v>
      </c>
      <c r="M98" s="3">
        <v>4657.16</v>
      </c>
      <c r="N98" s="3">
        <v>1621.93</v>
      </c>
      <c r="O98" s="3">
        <f>N98/L98</f>
        <v>0.25830653804930331</v>
      </c>
    </row>
    <row r="99" spans="1:15" x14ac:dyDescent="0.35">
      <c r="A99" s="3" t="s">
        <v>71</v>
      </c>
      <c r="B99" s="8" t="s">
        <v>109</v>
      </c>
      <c r="C99" s="3" t="s">
        <v>30</v>
      </c>
      <c r="D99" s="3" t="s">
        <v>22</v>
      </c>
      <c r="E99" s="3" t="s">
        <v>35</v>
      </c>
      <c r="F99" s="4">
        <v>41029</v>
      </c>
      <c r="G99" s="3">
        <v>513417565</v>
      </c>
      <c r="H99" s="4">
        <v>41047</v>
      </c>
      <c r="I99" s="3">
        <v>522</v>
      </c>
      <c r="J99" s="3">
        <v>9.33</v>
      </c>
      <c r="K99" s="3">
        <v>6.92</v>
      </c>
      <c r="L99" s="3">
        <v>4870.26</v>
      </c>
      <c r="M99" s="3">
        <v>3612.24</v>
      </c>
      <c r="N99" s="3">
        <v>1258.02</v>
      </c>
      <c r="O99" s="3">
        <f>N99/L99</f>
        <v>0.25830653804930331</v>
      </c>
    </row>
    <row r="100" spans="1:15" x14ac:dyDescent="0.35">
      <c r="A100" s="3" t="s">
        <v>24</v>
      </c>
      <c r="B100" s="8" t="s">
        <v>88</v>
      </c>
      <c r="C100" s="3" t="s">
        <v>34</v>
      </c>
      <c r="D100" s="3" t="s">
        <v>22</v>
      </c>
      <c r="E100" s="3" t="s">
        <v>27</v>
      </c>
      <c r="F100" s="4">
        <v>40913</v>
      </c>
      <c r="G100" s="3">
        <v>955357205</v>
      </c>
      <c r="H100" s="4">
        <v>40953</v>
      </c>
      <c r="I100" s="3">
        <v>282</v>
      </c>
      <c r="J100" s="3">
        <v>668.27</v>
      </c>
      <c r="K100" s="3">
        <v>502.54</v>
      </c>
      <c r="L100" s="3">
        <v>188452.14</v>
      </c>
      <c r="M100" s="3">
        <v>141716.28</v>
      </c>
      <c r="N100" s="3">
        <v>46735.86</v>
      </c>
      <c r="O100" s="3">
        <f>N100/L100</f>
        <v>0.24799856345489096</v>
      </c>
    </row>
    <row r="101" spans="1:15" x14ac:dyDescent="0.35">
      <c r="A101" s="3" t="s">
        <v>24</v>
      </c>
      <c r="B101" s="8" t="s">
        <v>65</v>
      </c>
      <c r="C101" s="3" t="s">
        <v>39</v>
      </c>
      <c r="D101" s="3" t="s">
        <v>22</v>
      </c>
      <c r="E101" s="3" t="s">
        <v>35</v>
      </c>
      <c r="F101" s="4">
        <v>40535</v>
      </c>
      <c r="G101" s="3">
        <v>617667090</v>
      </c>
      <c r="H101" s="4">
        <v>40574</v>
      </c>
      <c r="I101" s="3">
        <v>273</v>
      </c>
      <c r="J101" s="3">
        <v>81.73</v>
      </c>
      <c r="K101" s="3">
        <v>56.67</v>
      </c>
      <c r="L101" s="3">
        <v>22312.29</v>
      </c>
      <c r="M101" s="3">
        <v>15470.91</v>
      </c>
      <c r="N101" s="3">
        <v>6841.38</v>
      </c>
      <c r="O101" s="3">
        <f>N101/L101</f>
        <v>0.30661935641747218</v>
      </c>
    </row>
    <row r="102" spans="1:15" x14ac:dyDescent="0.35">
      <c r="A102" s="3" t="s">
        <v>24</v>
      </c>
      <c r="B102" s="8" t="s">
        <v>76</v>
      </c>
      <c r="C102" s="3" t="s">
        <v>37</v>
      </c>
      <c r="D102" s="3" t="s">
        <v>22</v>
      </c>
      <c r="E102" s="3" t="s">
        <v>18</v>
      </c>
      <c r="F102" s="4">
        <v>41188</v>
      </c>
      <c r="G102" s="3">
        <v>759224212</v>
      </c>
      <c r="H102" s="4">
        <v>41223</v>
      </c>
      <c r="I102" s="3">
        <v>171</v>
      </c>
      <c r="J102" s="3">
        <v>154.06</v>
      </c>
      <c r="K102" s="3">
        <v>90.93</v>
      </c>
      <c r="L102" s="3">
        <v>26344.26</v>
      </c>
      <c r="M102" s="3">
        <v>15549.03</v>
      </c>
      <c r="N102" s="3">
        <v>10795.23</v>
      </c>
      <c r="O102" s="3">
        <f>N102/L102</f>
        <v>0.40977541217707386</v>
      </c>
    </row>
    <row r="103" spans="1:15" x14ac:dyDescent="0.35">
      <c r="A103" s="3" t="s">
        <v>41</v>
      </c>
      <c r="B103" s="8" t="s">
        <v>42</v>
      </c>
      <c r="C103" s="3" t="s">
        <v>37</v>
      </c>
      <c r="D103" s="3" t="s">
        <v>22</v>
      </c>
      <c r="E103" s="3" t="s">
        <v>18</v>
      </c>
      <c r="F103" s="4">
        <v>40718</v>
      </c>
      <c r="G103" s="3">
        <v>814711606</v>
      </c>
      <c r="H103" s="4">
        <v>40736</v>
      </c>
      <c r="I103" s="3">
        <v>124</v>
      </c>
      <c r="J103" s="3">
        <v>154.06</v>
      </c>
      <c r="K103" s="3">
        <v>90.93</v>
      </c>
      <c r="L103" s="3">
        <v>19103.439999999999</v>
      </c>
      <c r="M103" s="3">
        <v>11275.32</v>
      </c>
      <c r="N103" s="3">
        <v>7828.12</v>
      </c>
      <c r="O103" s="3">
        <f>N103/L103</f>
        <v>0.40977541217707392</v>
      </c>
    </row>
  </sheetData>
  <autoFilter ref="A3:O103" xr:uid="{89F055F9-0AF5-4E6B-A7AD-6C7AC04C04AD}"/>
  <sortState xmlns:xlrd2="http://schemas.microsoft.com/office/spreadsheetml/2017/richdata2" ref="A4:O103">
    <sortCondition descending="1" ref="I3:I103"/>
  </sortState>
  <mergeCells count="1"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Sample_Sales Records_xls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Tyagi</dc:creator>
  <cp:lastModifiedBy>Vaibhav Tyagi</cp:lastModifiedBy>
  <dcterms:created xsi:type="dcterms:W3CDTF">2025-09-29T09:40:45Z</dcterms:created>
  <dcterms:modified xsi:type="dcterms:W3CDTF">2025-10-06T09:38:29Z</dcterms:modified>
</cp:coreProperties>
</file>